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localhost:9843/Desktop/Data Analytics/Excel/"/>
    </mc:Choice>
  </mc:AlternateContent>
  <xr:revisionPtr revIDLastSave="0" documentId="13_ncr:40000001_{815FFDF3-C8BE-4CB8-A9FF-8D3907ED4FD1}" xr6:coauthVersionLast="47" xr6:coauthVersionMax="47" xr10:uidLastSave="{00000000-0000-0000-0000-000000000000}"/>
  <bookViews>
    <workbookView xWindow="-120" yWindow="-120" windowWidth="22290" windowHeight="13305" activeTab="2" xr2:uid="{00000000-000D-0000-FFFF-FFFF00000000}"/>
  </bookViews>
  <sheets>
    <sheet name="Profit &amp; Loss" sheetId="1" r:id="rId1"/>
    <sheet name="PowerPivot" sheetId="7" r:id="rId2"/>
    <sheet name="Dashboard" sheetId="9" r:id="rId3"/>
    <sheet name="Data Sheet" sheetId="6" r:id="rId4"/>
  </sheets>
  <definedNames>
    <definedName name="_xlcn.WorksheetConnection_RelianceIndustr11.xlsxFinancial" hidden="1">Financial[]</definedName>
    <definedName name="PL_Data">'Profit &amp; Loss'!$A$4:$K$18</definedName>
    <definedName name="Slicer_Financial_Year">#N/A</definedName>
    <definedName name="UPDATE">'Data Sheet'!$E$1</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 name="Financial" connection="WorksheetConnection_Reliance Industr (1) (1).xlsx!Financi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V6" i="1" l="1"/>
  <c r="V7" i="1"/>
  <c r="Z7" i="1" s="1"/>
  <c r="V8" i="1"/>
  <c r="Z8" i="1" s="1"/>
  <c r="V9" i="1"/>
  <c r="AD10" i="1" s="1"/>
  <c r="V10" i="1"/>
  <c r="V11" i="1"/>
  <c r="AG11" i="1" s="1"/>
  <c r="V12" i="1"/>
  <c r="Z12" i="1" s="1"/>
  <c r="V13" i="1"/>
  <c r="AD14" i="1" s="1"/>
  <c r="V14" i="1"/>
  <c r="V5" i="1"/>
  <c r="AD5" i="1" s="1"/>
  <c r="Z6" i="1"/>
  <c r="Z10" i="1"/>
  <c r="Z14" i="1"/>
  <c r="AG6" i="1"/>
  <c r="AG10" i="1"/>
  <c r="AG14" i="1"/>
  <c r="AF6" i="1"/>
  <c r="AF7" i="1"/>
  <c r="AF8" i="1"/>
  <c r="AF9" i="1"/>
  <c r="AF10" i="1"/>
  <c r="AF11" i="1"/>
  <c r="AF12" i="1"/>
  <c r="AF13" i="1"/>
  <c r="AF14" i="1"/>
  <c r="AF5" i="1"/>
  <c r="AC5" i="1"/>
  <c r="AE6" i="1"/>
  <c r="AE7" i="1"/>
  <c r="AE8" i="1"/>
  <c r="AE9" i="1"/>
  <c r="AE10" i="1"/>
  <c r="AE11" i="1"/>
  <c r="AE12" i="1"/>
  <c r="AE13" i="1"/>
  <c r="AE14" i="1"/>
  <c r="AE5" i="1"/>
  <c r="AD12" i="1"/>
  <c r="AC6" i="1"/>
  <c r="AC7" i="1"/>
  <c r="AC8" i="1"/>
  <c r="AC9" i="1"/>
  <c r="AC10" i="1"/>
  <c r="AC11" i="1"/>
  <c r="AC12" i="1"/>
  <c r="AC13" i="1"/>
  <c r="AC14" i="1"/>
  <c r="B6" i="6"/>
  <c r="A1" i="1"/>
  <c r="E1" i="6"/>
  <c r="H1" i="1" s="1"/>
  <c r="Z11" i="1" l="1"/>
  <c r="AD11" i="1"/>
  <c r="Z5" i="1"/>
  <c r="AD7" i="1"/>
  <c r="AG7" i="1"/>
  <c r="AD13" i="1"/>
  <c r="AD8" i="1"/>
  <c r="AD9" i="1"/>
  <c r="AG9" i="1"/>
  <c r="AG12" i="1"/>
  <c r="AG8" i="1"/>
  <c r="Z13" i="1"/>
  <c r="Z9" i="1"/>
  <c r="AG13" i="1"/>
  <c r="AG5" i="1"/>
  <c r="AD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A6C61F-D25B-49E9-B0AF-55BC4E4432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0ECEE3-F46D-438B-98EC-F55D3ABD8761}" name="WorksheetConnection_Reliance Industr (1) (1).xlsx!Financial" type="102" refreshedVersion="8" minRefreshableVersion="5">
    <extLst>
      <ext xmlns:x15="http://schemas.microsoft.com/office/spreadsheetml/2010/11/main" uri="{DE250136-89BD-433C-8126-D09CA5730AF9}">
        <x15:connection id="Financial" autoDelete="1">
          <x15:rangePr sourceName="_xlcn.WorksheetConnection_RelianceIndustr11.xlsxFinancial"/>
        </x15:connection>
      </ext>
    </extLst>
  </connection>
</connections>
</file>

<file path=xl/sharedStrings.xml><?xml version="1.0" encoding="utf-8"?>
<sst xmlns="http://schemas.openxmlformats.org/spreadsheetml/2006/main" count="252" uniqueCount="93">
  <si>
    <t>Sales</t>
  </si>
  <si>
    <t>Expenses</t>
  </si>
  <si>
    <t>Operating Profit</t>
  </si>
  <si>
    <t>Other Income</t>
  </si>
  <si>
    <t>Depreciation</t>
  </si>
  <si>
    <t>Interest</t>
  </si>
  <si>
    <t>Profit before tax</t>
  </si>
  <si>
    <t>Tax</t>
  </si>
  <si>
    <t>Net profit</t>
  </si>
  <si>
    <t>Dividend Payout</t>
  </si>
  <si>
    <t>Equity Share Capital</t>
  </si>
  <si>
    <t>Reserves</t>
  </si>
  <si>
    <t>Borrowings</t>
  </si>
  <si>
    <t>Other Liabilities</t>
  </si>
  <si>
    <t>Total</t>
  </si>
  <si>
    <t>Net Block</t>
  </si>
  <si>
    <t>Capital Work in Progress</t>
  </si>
  <si>
    <t>Investments</t>
  </si>
  <si>
    <t>Other Assets</t>
  </si>
  <si>
    <t>Inventory</t>
  </si>
  <si>
    <t>Cash from Operating Activity</t>
  </si>
  <si>
    <t>Cash from Investing Activity</t>
  </si>
  <si>
    <t>Cash from Financing Activity</t>
  </si>
  <si>
    <t>Net Cash Flow</t>
  </si>
  <si>
    <t>COMPANY NAME</t>
  </si>
  <si>
    <t>RELIANCE INDUSTRIES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</si>
  <si>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</si>
  <si>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</si>
  <si>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</si>
  <si>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</si>
  <si>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</si>
  <si>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</si>
  <si>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</si>
  <si>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</si>
  <si>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</si>
  <si>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</si>
  <si>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</si>
  <si>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</si>
  <si>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</si>
  <si>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</si>
  <si>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</si>
  <si>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</si>
  <si>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</si>
  <si>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Dividend Amount</t>
  </si>
  <si>
    <t>Quarters</t>
  </si>
  <si>
    <t>BALANCE SHEET</t>
  </si>
  <si>
    <t>Receivables</t>
  </si>
  <si>
    <t>Cash &amp; Bank</t>
  </si>
  <si>
    <t>No. of Equity Shares</t>
  </si>
  <si>
    <t>New Bonus Shares</t>
  </si>
  <si>
    <t>Face value</t>
  </si>
  <si>
    <t>CASH FLOW:</t>
  </si>
  <si>
    <t>DERIVED:</t>
  </si>
  <si>
    <t>Adjusted Equity Shares in Cr</t>
  </si>
  <si>
    <t>Share Price:</t>
  </si>
  <si>
    <t>PBT = Operating Profit    + Other Income- Deprication-Interest</t>
  </si>
  <si>
    <t>Net Profit = PBT − Tax</t>
  </si>
  <si>
    <t>P/E = Share Price ÷ EPS</t>
  </si>
  <si>
    <t>EPS = Net Profit ÷ Number of Shares available in market</t>
  </si>
  <si>
    <t>OPM = Operating Profit ÷ Sales × 100</t>
  </si>
  <si>
    <t>P/E Ratio</t>
  </si>
  <si>
    <t>OPM (%)</t>
  </si>
  <si>
    <t>Share Price (₹)</t>
  </si>
  <si>
    <t>EPS (₹)</t>
  </si>
  <si>
    <t>Line Item</t>
  </si>
  <si>
    <t>FY16</t>
  </si>
  <si>
    <t>FY17</t>
  </si>
  <si>
    <t>FY18</t>
  </si>
  <si>
    <t>FY19</t>
  </si>
  <si>
    <t>FY20</t>
  </si>
  <si>
    <t>FY21</t>
  </si>
  <si>
    <t>FY22</t>
  </si>
  <si>
    <t>FY23</t>
  </si>
  <si>
    <t>FY24</t>
  </si>
  <si>
    <t>FY25</t>
  </si>
  <si>
    <t>Financial Year</t>
  </si>
  <si>
    <t>Revenue</t>
  </si>
  <si>
    <t>YOY Revenue growth %</t>
  </si>
  <si>
    <t>YoY Net Profit Growth %</t>
  </si>
  <si>
    <t>Effective tax %</t>
  </si>
  <si>
    <t>Expense Ratio %</t>
  </si>
  <si>
    <t>Profit Conversion Ratio</t>
  </si>
  <si>
    <t>Row Labels</t>
  </si>
  <si>
    <t>Profit Margin</t>
  </si>
  <si>
    <t>Operating Profit = Revenue − Expenses</t>
  </si>
  <si>
    <t>Profit Conversion Ratio %</t>
  </si>
  <si>
    <t>Revenue YOY %</t>
  </si>
  <si>
    <t>Net Profit YOY %</t>
  </si>
  <si>
    <t>Total Revenue</t>
  </si>
  <si>
    <t>Operating Margin %</t>
  </si>
  <si>
    <t>Total Net Profit</t>
  </si>
  <si>
    <t>Net Margin %</t>
  </si>
  <si>
    <t>Reliance Financial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</si>
</sst>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409]mmm\-yy;@"/>
    <numFmt numFmtId="166" formatCode="0.0"/>
    <numFmt numFmtId="167" formatCode="0.00%;\-0.00%;0.00%"/>
  </numFmts>
  <fonts count="13"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sz val="8"/>
      <name val="Calibri"/>
      <family val="2"/>
      <scheme val="minor"/>
    </font>
    <font>
      <sz val="14"/>
      <color theme="1"/>
      <name val="Calibri"/>
      <family val="2"/>
      <scheme val="minor"/>
    </font>
    <font>
      <sz val="16"/>
      <color theme="1"/>
      <name val="Calibri"/>
      <family val="2"/>
      <scheme val="minor"/>
    </font>
    <font>
      <b/>
      <sz val="22"/>
      <color theme="0"/>
      <name val="Calibri"/>
      <family val="2"/>
      <scheme val="minor"/>
    </font>
    <font>
      <sz val="22"/>
      <color theme="0"/>
      <name val="Calibri"/>
      <family val="2"/>
      <scheme val="minor"/>
    </font>
  </fonts>
  <fills count="12">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7" tint="0.39997558519241921"/>
        <bgColor indexed="64"/>
      </patternFill>
    </fill>
    <fill>
      <patternFill patternType="solid">
        <fgColor theme="7" tint="0.39997558519241921"/>
        <bgColor theme="5"/>
      </patternFill>
    </fill>
    <fill>
      <patternFill patternType="solid">
        <fgColor theme="0"/>
        <bgColor theme="4" tint="0.59999389629810485"/>
      </patternFill>
    </fill>
    <fill>
      <patternFill patternType="solid">
        <fgColor theme="0"/>
        <bgColor theme="5" tint="0.79998168889431442"/>
      </patternFill>
    </fill>
    <fill>
      <patternFill patternType="solid">
        <fgColor theme="0"/>
        <bgColor theme="4" tint="0.79998168889431442"/>
      </patternFill>
    </fill>
    <fill>
      <patternFill patternType="solid">
        <fgColor theme="0"/>
        <bgColor indexed="64"/>
      </patternFill>
    </fill>
    <fill>
      <patternFill patternType="solid">
        <fgColor theme="0"/>
        <bgColor theme="5" tint="0.59999389629810485"/>
      </patternFill>
    </fill>
    <fill>
      <patternFill patternType="solid">
        <fgColor theme="2" tint="-9.9978637043366805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theme="7" tint="0.39997558519241921"/>
      </right>
      <top/>
      <bottom/>
      <diagonal/>
    </border>
  </borders>
  <cellStyleXfs count="5">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66">
    <xf numFmtId="0" fontId="0" fillId="0" borderId="0" xfId="0"/>
    <xf numFmtId="164" fontId="1" fillId="0" borderId="0" xfId="1" applyFont="1" applyBorder="1"/>
    <xf numFmtId="0" fontId="1" fillId="0" borderId="0" xfId="0" applyFont="1"/>
    <xf numFmtId="0" fontId="6" fillId="0" borderId="0" xfId="0" applyFont="1"/>
    <xf numFmtId="164" fontId="0" fillId="0" borderId="0" xfId="1" applyFont="1" applyBorder="1"/>
    <xf numFmtId="10" fontId="0" fillId="0" borderId="0" xfId="0" applyNumberFormat="1"/>
    <xf numFmtId="164"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7" fillId="0" borderId="0" xfId="1" applyNumberFormat="1" applyFont="1" applyFill="1" applyBorder="1"/>
    <xf numFmtId="43" fontId="0" fillId="0" borderId="0" xfId="1" applyNumberFormat="1" applyFont="1" applyBorder="1"/>
    <xf numFmtId="164" fontId="1" fillId="0" borderId="1" xfId="1" applyFont="1" applyBorder="1" applyAlignment="1">
      <alignment horizontal="left" vertical="top"/>
    </xf>
    <xf numFmtId="164" fontId="3" fillId="0" borderId="1" xfId="1" applyFont="1" applyBorder="1" applyAlignment="1">
      <alignment horizontal="left" vertical="top"/>
    </xf>
    <xf numFmtId="10" fontId="0" fillId="0" borderId="1" xfId="0" applyNumberFormat="1" applyBorder="1" applyAlignment="1">
      <alignment horizontal="right" vertical="top"/>
    </xf>
    <xf numFmtId="0" fontId="1" fillId="0" borderId="0" xfId="0" applyFont="1" applyAlignment="1">
      <alignment horizontal="center" vertical="center"/>
    </xf>
    <xf numFmtId="0" fontId="1" fillId="0" borderId="13" xfId="0" applyFont="1" applyBorder="1" applyAlignment="1">
      <alignment horizontal="left" vertical="top"/>
    </xf>
    <xf numFmtId="0" fontId="0" fillId="0" borderId="13" xfId="0" applyBorder="1" applyAlignment="1">
      <alignment horizontal="left" vertical="top"/>
    </xf>
    <xf numFmtId="164" fontId="1" fillId="0" borderId="14" xfId="1" applyFont="1" applyBorder="1" applyAlignment="1">
      <alignment horizontal="left" vertical="top"/>
    </xf>
    <xf numFmtId="164" fontId="3" fillId="0" borderId="14" xfId="1" applyFont="1" applyBorder="1" applyAlignment="1">
      <alignment horizontal="left" vertical="top"/>
    </xf>
    <xf numFmtId="10" fontId="0" fillId="0" borderId="14" xfId="0" applyNumberFormat="1" applyBorder="1" applyAlignment="1">
      <alignment horizontal="right" vertical="top"/>
    </xf>
    <xf numFmtId="0" fontId="2" fillId="3" borderId="10" xfId="0" applyFont="1" applyFill="1" applyBorder="1" applyAlignment="1">
      <alignment horizontal="left" vertical="top"/>
    </xf>
    <xf numFmtId="165" fontId="2" fillId="3" borderId="11" xfId="0" applyNumberFormat="1" applyFont="1" applyFill="1" applyBorder="1" applyAlignment="1">
      <alignment horizontal="center" vertical="center"/>
    </xf>
    <xf numFmtId="165" fontId="2" fillId="3" borderId="12" xfId="0" applyNumberFormat="1" applyFont="1" applyFill="1" applyBorder="1" applyAlignment="1">
      <alignment horizontal="center" vertical="center"/>
    </xf>
    <xf numFmtId="0" fontId="0" fillId="0" borderId="15" xfId="0" applyBorder="1" applyAlignment="1">
      <alignment horizontal="left" vertical="top"/>
    </xf>
    <xf numFmtId="10" fontId="0" fillId="0" borderId="16" xfId="0" applyNumberFormat="1" applyBorder="1" applyAlignment="1">
      <alignment horizontal="right" vertical="top"/>
    </xf>
    <xf numFmtId="10" fontId="0" fillId="0" borderId="17" xfId="0" applyNumberFormat="1" applyBorder="1" applyAlignment="1">
      <alignment horizontal="right" vertical="top"/>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0" fillId="6" borderId="1" xfId="0" applyFill="1" applyBorder="1"/>
    <xf numFmtId="10" fontId="0" fillId="6" borderId="1" xfId="0" applyNumberFormat="1" applyFill="1" applyBorder="1"/>
    <xf numFmtId="9" fontId="1" fillId="7" borderId="1" xfId="0" applyNumberFormat="1" applyFont="1" applyFill="1" applyBorder="1"/>
    <xf numFmtId="9" fontId="1" fillId="7" borderId="1" xfId="4" applyFont="1" applyFill="1" applyBorder="1"/>
    <xf numFmtId="0" fontId="0" fillId="8" borderId="1" xfId="0" applyFill="1" applyBorder="1"/>
    <xf numFmtId="10" fontId="0" fillId="8" borderId="1" xfId="0" applyNumberFormat="1" applyFill="1" applyBorder="1"/>
    <xf numFmtId="10" fontId="1" fillId="9" borderId="1" xfId="0" applyNumberFormat="1" applyFont="1" applyFill="1" applyBorder="1"/>
    <xf numFmtId="9" fontId="1" fillId="9" borderId="1" xfId="4" applyFont="1" applyFill="1" applyBorder="1"/>
    <xf numFmtId="10" fontId="1" fillId="7" borderId="1" xfId="0" applyNumberFormat="1" applyFont="1" applyFill="1" applyBorder="1"/>
    <xf numFmtId="0" fontId="0" fillId="6" borderId="5" xfId="0" applyFill="1" applyBorder="1"/>
    <xf numFmtId="0" fontId="0" fillId="8" borderId="5" xfId="0" applyFill="1" applyBorder="1"/>
    <xf numFmtId="0" fontId="2" fillId="5"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8" borderId="7" xfId="0" applyFill="1" applyBorder="1"/>
    <xf numFmtId="0" fontId="0" fillId="8" borderId="8" xfId="0" applyFill="1" applyBorder="1"/>
    <xf numFmtId="10" fontId="0" fillId="8" borderId="8" xfId="0" applyNumberFormat="1" applyFill="1" applyBorder="1"/>
    <xf numFmtId="10" fontId="1" fillId="9" borderId="8" xfId="0" applyNumberFormat="1" applyFont="1" applyFill="1" applyBorder="1"/>
    <xf numFmtId="9" fontId="1" fillId="9" borderId="8" xfId="4" applyFont="1" applyFill="1" applyBorder="1"/>
    <xf numFmtId="9" fontId="1" fillId="9" borderId="6" xfId="4" applyFont="1" applyFill="1" applyBorder="1"/>
    <xf numFmtId="9" fontId="1" fillId="9" borderId="9" xfId="4" applyFont="1" applyFill="1" applyBorder="1"/>
    <xf numFmtId="0" fontId="0" fillId="0" borderId="0" xfId="0" pivotButton="1"/>
    <xf numFmtId="0" fontId="0" fillId="0" borderId="0" xfId="0" applyAlignment="1">
      <alignment horizontal="left"/>
    </xf>
    <xf numFmtId="9" fontId="0" fillId="8" borderId="1" xfId="4" applyFont="1" applyFill="1" applyBorder="1"/>
    <xf numFmtId="9" fontId="0" fillId="6" borderId="1" xfId="4" applyFont="1" applyFill="1" applyBorder="1"/>
    <xf numFmtId="9" fontId="0" fillId="8" borderId="8" xfId="4" applyFont="1" applyFill="1" applyBorder="1"/>
    <xf numFmtId="10" fontId="1" fillId="10" borderId="1" xfId="4" applyNumberFormat="1" applyFont="1" applyFill="1" applyBorder="1"/>
    <xf numFmtId="10" fontId="1" fillId="10" borderId="8" xfId="4" applyNumberFormat="1" applyFont="1" applyFill="1" applyBorder="1"/>
    <xf numFmtId="166" fontId="0" fillId="0" borderId="0" xfId="0" applyNumberFormat="1"/>
    <xf numFmtId="167" fontId="10" fillId="0" borderId="0" xfId="0" applyNumberFormat="1" applyFont="1" applyAlignment="1">
      <alignment horizontal="center" vertical="center"/>
    </xf>
    <xf numFmtId="10" fontId="0" fillId="0" borderId="0" xfId="4" applyNumberFormat="1" applyFont="1"/>
    <xf numFmtId="0" fontId="9" fillId="11" borderId="0" xfId="0" applyFont="1" applyFill="1" applyAlignment="1">
      <alignment horizontal="center" vertical="center"/>
    </xf>
    <xf numFmtId="0" fontId="10" fillId="0" borderId="18" xfId="0" applyFont="1" applyBorder="1" applyAlignment="1">
      <alignment horizontal="center" vertical="center"/>
    </xf>
    <xf numFmtId="167" fontId="10" fillId="0" borderId="18" xfId="0" applyNumberFormat="1" applyFont="1" applyBorder="1" applyAlignment="1">
      <alignment horizontal="center" vertical="center"/>
    </xf>
    <xf numFmtId="167" fontId="10" fillId="0" borderId="19" xfId="0" applyNumberFormat="1" applyFont="1" applyBorder="1" applyAlignment="1">
      <alignment horizontal="center" vertical="center"/>
    </xf>
    <xf numFmtId="0" fontId="11" fillId="4" borderId="0" xfId="0" applyFont="1" applyFill="1" applyAlignment="1">
      <alignment horizontal="center" vertical="center" wrapText="1"/>
    </xf>
    <xf numFmtId="0" fontId="12" fillId="4" borderId="0" xfId="0" applyFont="1" applyFill="1" applyAlignment="1">
      <alignment horizontal="center" vertical="center" wrapText="1"/>
    </xf>
    <xf numFmtId="164" fontId="4" fillId="0" borderId="0" xfId="2" applyNumberFormat="1" applyBorder="1" applyAlignment="1" applyProtection="1">
      <alignment horizontal="center"/>
    </xf>
    <xf numFmtId="164" fontId="2" fillId="2" borderId="0" xfId="3" applyNumberFormat="1" applyFont="1" applyBorder="1"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66">
    <dxf>
      <font>
        <b/>
        <i val="0"/>
        <color theme="0"/>
      </font>
      <fill>
        <patternFill>
          <bgColor theme="5"/>
        </patternFill>
      </fill>
    </dxf>
    <dxf>
      <border>
        <right style="thin">
          <color indexed="64"/>
        </right>
      </border>
    </dxf>
    <dxf>
      <fill>
        <patternFill patternType="solid">
          <bgColor theme="2" tint="-9.9978637043366805E-2"/>
        </patternFill>
      </fill>
    </dxf>
    <dxf>
      <alignment horizontal="center"/>
    </dxf>
    <dxf>
      <alignment vertical="center"/>
    </dxf>
    <dxf>
      <alignment horizontal="center"/>
    </dxf>
    <dxf>
      <alignment vertical="center"/>
    </dxf>
    <dxf>
      <font>
        <sz val="16"/>
      </font>
    </dxf>
    <dxf>
      <font>
        <sz val="14"/>
      </font>
    </dxf>
    <dxf>
      <border>
        <right style="thin">
          <color indexed="64"/>
        </right>
      </border>
    </dxf>
    <dxf>
      <font>
        <sz val="14"/>
      </font>
    </dxf>
    <dxf>
      <fill>
        <patternFill patternType="solid">
          <bgColor theme="2" tint="-9.9978637043366805E-2"/>
        </patternFill>
      </fill>
    </dxf>
    <dxf>
      <alignment horizontal="center"/>
    </dxf>
    <dxf>
      <alignment vertical="center"/>
    </dxf>
    <dxf>
      <alignment horizontal="center"/>
    </dxf>
    <dxf>
      <alignment vertical="center"/>
    </dxf>
    <dxf>
      <font>
        <sz val="16"/>
      </font>
    </dxf>
    <dxf>
      <font>
        <sz val="14"/>
      </font>
    </dxf>
    <dxf>
      <fill>
        <patternFill patternType="solid">
          <bgColor theme="2" tint="-9.9978637043366805E-2"/>
        </patternFill>
      </fill>
    </dxf>
    <dxf>
      <alignment horizontal="center"/>
    </dxf>
    <dxf>
      <alignment vertical="center"/>
    </dxf>
    <dxf>
      <alignment horizontal="center"/>
    </dxf>
    <dxf>
      <alignment vertical="center"/>
    </dxf>
    <dxf>
      <font>
        <sz val="16"/>
      </font>
    </dxf>
    <dxf>
      <font>
        <sz val="14"/>
      </font>
    </dxf>
    <dxf>
      <border>
        <right style="thin">
          <color theme="7" tint="0.39997558519241921"/>
        </right>
      </border>
    </dxf>
    <dxf>
      <fill>
        <patternFill patternType="solid">
          <bgColor theme="2" tint="-9.9978637043366805E-2"/>
        </patternFill>
      </fill>
    </dxf>
    <dxf>
      <alignment horizontal="center"/>
    </dxf>
    <dxf>
      <alignment vertical="center"/>
    </dxf>
    <dxf>
      <alignment horizontal="center"/>
    </dxf>
    <dxf>
      <alignment vertical="center"/>
    </dxf>
    <dxf>
      <font>
        <sz val="16"/>
      </font>
    </dxf>
    <dxf>
      <font>
        <sz val="14"/>
      </font>
    </dxf>
    <dxf>
      <border>
        <right style="thin">
          <color indexed="64"/>
        </right>
      </border>
    </dxf>
    <dxf>
      <fill>
        <patternFill patternType="solid">
          <bgColor theme="2" tint="-9.9978637043366805E-2"/>
        </patternFill>
      </fill>
    </dxf>
    <dxf>
      <alignment horizontal="center"/>
    </dxf>
    <dxf>
      <alignment vertical="center"/>
    </dxf>
    <dxf>
      <alignment horizontal="center"/>
    </dxf>
    <dxf>
      <alignment vertical="center"/>
    </dxf>
    <dxf>
      <font>
        <sz val="16"/>
      </font>
    </dxf>
    <dxf>
      <font>
        <sz val="14"/>
      </font>
    </dxf>
    <dxf>
      <font>
        <b/>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4" formatCode="0.00%"/>
      <fill>
        <patternFill patternType="solid">
          <fgColor theme="5" tint="0.59999389629810485"/>
          <bgColor theme="0"/>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3"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3" formatCode="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4" formatCode="0.0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5"/>
          <bgColor theme="7"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Industries.xlsx]PowerPivot!PivotTable1</c:name>
    <c:fmtId val="5"/>
  </c:pivotSource>
  <c:chart>
    <c:autoTitleDeleted val="1"/>
    <c:pivotFmts>
      <c:pivotFmt>
        <c:idx val="0"/>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solidFill>
            <a:round/>
          </a:ln>
          <a:effectLst>
            <a:outerShdw blurRad="50800" dist="25400" algn="bl" rotWithShape="0">
              <a:srgbClr val="000000">
                <a:alpha val="60000"/>
              </a:srgbClr>
            </a:outerShdw>
          </a:effectLst>
        </c:spPr>
        <c:marker>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solidFill>
            <a:round/>
          </a:ln>
          <a:effectLst>
            <a:outerShdw blurRad="50800" dist="25400" algn="bl" rotWithShape="0">
              <a:srgbClr val="000000">
                <a:alpha val="60000"/>
              </a:srgbClr>
            </a:outerShdw>
          </a:effectLst>
        </c:spPr>
        <c:marker>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PowerPivot!$B$3</c:f>
              <c:strCache>
                <c:ptCount val="1"/>
                <c:pt idx="0">
                  <c:v>Total Revenue</c:v>
                </c:pt>
              </c:strCache>
            </c:strRef>
          </c:tx>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cat>
            <c:strRef>
              <c:f>PowerPivot!$A$4:$A$13</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PowerPivot!$B$4:$B$13</c:f>
              <c:numCache>
                <c:formatCode>General</c:formatCode>
                <c:ptCount val="10"/>
                <c:pt idx="0">
                  <c:v>231743</c:v>
                </c:pt>
                <c:pt idx="1">
                  <c:v>240597</c:v>
                </c:pt>
                <c:pt idx="2">
                  <c:v>289188</c:v>
                </c:pt>
                <c:pt idx="3">
                  <c:v>370744</c:v>
                </c:pt>
                <c:pt idx="4">
                  <c:v>336097</c:v>
                </c:pt>
                <c:pt idx="5">
                  <c:v>245050</c:v>
                </c:pt>
                <c:pt idx="6">
                  <c:v>422413</c:v>
                </c:pt>
                <c:pt idx="7">
                  <c:v>537909</c:v>
                </c:pt>
                <c:pt idx="8">
                  <c:v>531908</c:v>
                </c:pt>
                <c:pt idx="9">
                  <c:v>515425</c:v>
                </c:pt>
              </c:numCache>
            </c:numRef>
          </c:val>
          <c:smooth val="0"/>
          <c:extLst>
            <c:ext xmlns:c16="http://schemas.microsoft.com/office/drawing/2014/chart" uri="{C3380CC4-5D6E-409C-BE32-E72D297353CC}">
              <c16:uniqueId val="{00000000-B1B0-4C78-9E70-310699025437}"/>
            </c:ext>
          </c:extLst>
        </c:ser>
        <c:ser>
          <c:idx val="1"/>
          <c:order val="1"/>
          <c:tx>
            <c:strRef>
              <c:f>PowerPivot!$C$3</c:f>
              <c:strCache>
                <c:ptCount val="1"/>
                <c:pt idx="0">
                  <c:v>Net profit</c:v>
                </c:pt>
              </c:strCache>
            </c:strRef>
          </c:tx>
          <c:spPr>
            <a:ln w="31750" cap="rnd">
              <a:solidFill>
                <a:schemeClr val="accent2"/>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cat>
            <c:strRef>
              <c:f>PowerPivot!$A$4:$A$13</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PowerPivot!$C$4:$C$13</c:f>
              <c:numCache>
                <c:formatCode>General</c:formatCode>
                <c:ptCount val="10"/>
                <c:pt idx="0">
                  <c:v>27384</c:v>
                </c:pt>
                <c:pt idx="1">
                  <c:v>31425</c:v>
                </c:pt>
                <c:pt idx="2">
                  <c:v>33612</c:v>
                </c:pt>
                <c:pt idx="3">
                  <c:v>35163</c:v>
                </c:pt>
                <c:pt idx="4">
                  <c:v>30903</c:v>
                </c:pt>
                <c:pt idx="5">
                  <c:v>22480</c:v>
                </c:pt>
                <c:pt idx="6">
                  <c:v>39084</c:v>
                </c:pt>
                <c:pt idx="7">
                  <c:v>44190</c:v>
                </c:pt>
                <c:pt idx="8">
                  <c:v>42042</c:v>
                </c:pt>
                <c:pt idx="9">
                  <c:v>35262</c:v>
                </c:pt>
              </c:numCache>
            </c:numRef>
          </c:val>
          <c:smooth val="0"/>
          <c:extLst>
            <c:ext xmlns:c16="http://schemas.microsoft.com/office/drawing/2014/chart" uri="{C3380CC4-5D6E-409C-BE32-E72D297353CC}">
              <c16:uniqueId val="{00000001-FA73-4AFA-8D61-0083B991B092}"/>
            </c:ext>
          </c:extLst>
        </c:ser>
        <c:dLbls>
          <c:showLegendKey val="0"/>
          <c:showVal val="0"/>
          <c:showCatName val="0"/>
          <c:showSerName val="0"/>
          <c:showPercent val="0"/>
          <c:showBubbleSize val="0"/>
        </c:dLbls>
        <c:marker val="1"/>
        <c:smooth val="0"/>
        <c:axId val="1474635184"/>
        <c:axId val="943559648"/>
      </c:lineChart>
      <c:catAx>
        <c:axId val="14746351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3559648"/>
        <c:crosses val="autoZero"/>
        <c:auto val="1"/>
        <c:lblAlgn val="ctr"/>
        <c:lblOffset val="100"/>
        <c:noMultiLvlLbl val="0"/>
      </c:catAx>
      <c:valAx>
        <c:axId val="9435596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474635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Industries.xlsx]PowerPivot!PivotTable2</c:name>
    <c:fmtId val="7"/>
  </c:pivotSource>
  <c:chart>
    <c:autoTitleDeleted val="1"/>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PowerPivot!$B$20</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PowerPivot!$A$21:$A$30</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PowerPivot!$B$21:$B$30</c:f>
              <c:numCache>
                <c:formatCode>0.00%</c:formatCode>
                <c:ptCount val="10"/>
                <c:pt idx="0">
                  <c:v>0.1699468808119339</c:v>
                </c:pt>
                <c:pt idx="1">
                  <c:v>0.18007290198963413</c:v>
                </c:pt>
                <c:pt idx="2">
                  <c:v>0.17897699766242028</c:v>
                </c:pt>
                <c:pt idx="3">
                  <c:v>0.15884545670327774</c:v>
                </c:pt>
                <c:pt idx="4">
                  <c:v>0.15776397885134352</c:v>
                </c:pt>
                <c:pt idx="5">
                  <c:v>0.13673944093042237</c:v>
                </c:pt>
                <c:pt idx="6">
                  <c:v>0.12406341660886383</c:v>
                </c:pt>
                <c:pt idx="7">
                  <c:v>0.12429425795069426</c:v>
                </c:pt>
                <c:pt idx="8">
                  <c:v>0.13991141325191575</c:v>
                </c:pt>
                <c:pt idx="9">
                  <c:v>0.11278653538342145</c:v>
                </c:pt>
              </c:numCache>
            </c:numRef>
          </c:val>
          <c:smooth val="0"/>
          <c:extLst>
            <c:ext xmlns:c16="http://schemas.microsoft.com/office/drawing/2014/chart" uri="{C3380CC4-5D6E-409C-BE32-E72D297353CC}">
              <c16:uniqueId val="{00000000-75C3-4C81-A237-BB00AE94F784}"/>
            </c:ext>
          </c:extLst>
        </c:ser>
        <c:dLbls>
          <c:dLblPos val="b"/>
          <c:showLegendKey val="0"/>
          <c:showVal val="1"/>
          <c:showCatName val="0"/>
          <c:showSerName val="0"/>
          <c:showPercent val="0"/>
          <c:showBubbleSize val="0"/>
        </c:dLbls>
        <c:marker val="1"/>
        <c:smooth val="0"/>
        <c:axId val="1457405792"/>
        <c:axId val="952286528"/>
      </c:lineChart>
      <c:valAx>
        <c:axId val="952286528"/>
        <c:scaling>
          <c:orientation val="minMax"/>
        </c:scaling>
        <c:delete val="0"/>
        <c:axPos val="r"/>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05792"/>
        <c:crosses val="max"/>
        <c:crossBetween val="between"/>
      </c:valAx>
      <c:catAx>
        <c:axId val="14574057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86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Industries.xlsx]PowerPivot!PivotTable3</c:name>
    <c:fmtId val="13"/>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PowerPivot!$B$35</c:f>
              <c:strCache>
                <c:ptCount val="1"/>
                <c:pt idx="0">
                  <c:v>OPM (%)</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PowerPivot!$A$36:$A$45</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PowerPivot!$B$36:$B$45</c:f>
              <c:numCache>
                <c:formatCode>0.00%</c:formatCode>
                <c:ptCount val="10"/>
                <c:pt idx="0">
                  <c:v>0.1699468808119339</c:v>
                </c:pt>
                <c:pt idx="1">
                  <c:v>0.18007290198963413</c:v>
                </c:pt>
                <c:pt idx="2">
                  <c:v>0.17897699766242028</c:v>
                </c:pt>
                <c:pt idx="3">
                  <c:v>0.15884545670327774</c:v>
                </c:pt>
                <c:pt idx="4">
                  <c:v>0.15776397885134352</c:v>
                </c:pt>
                <c:pt idx="5">
                  <c:v>0.13673944093042237</c:v>
                </c:pt>
                <c:pt idx="6">
                  <c:v>0.12406341660886383</c:v>
                </c:pt>
                <c:pt idx="7">
                  <c:v>0.12429425795069426</c:v>
                </c:pt>
                <c:pt idx="8">
                  <c:v>0.13991141325191575</c:v>
                </c:pt>
                <c:pt idx="9">
                  <c:v>0.11278653538342145</c:v>
                </c:pt>
              </c:numCache>
            </c:numRef>
          </c:val>
          <c:extLst>
            <c:ext xmlns:c16="http://schemas.microsoft.com/office/drawing/2014/chart" uri="{C3380CC4-5D6E-409C-BE32-E72D297353CC}">
              <c16:uniqueId val="{00000000-88CB-4E16-93C0-F05A51B6ADCD}"/>
            </c:ext>
          </c:extLst>
        </c:ser>
        <c:dLbls>
          <c:showLegendKey val="0"/>
          <c:showVal val="0"/>
          <c:showCatName val="0"/>
          <c:showSerName val="0"/>
          <c:showPercent val="0"/>
          <c:showBubbleSize val="0"/>
        </c:dLbls>
        <c:gapWidth val="219"/>
        <c:overlap val="-27"/>
        <c:axId val="1458389296"/>
        <c:axId val="1458387856"/>
      </c:barChart>
      <c:lineChart>
        <c:grouping val="standard"/>
        <c:varyColors val="0"/>
        <c:ser>
          <c:idx val="1"/>
          <c:order val="1"/>
          <c:tx>
            <c:strRef>
              <c:f>PowerPivot!$C$35</c:f>
              <c:strCache>
                <c:ptCount val="1"/>
                <c:pt idx="0">
                  <c:v>Expense Ratio %</c:v>
                </c:pt>
              </c:strCache>
            </c:strRef>
          </c:tx>
          <c:spPr>
            <a:ln w="34925" cap="rnd">
              <a:solidFill>
                <a:schemeClr val="accent2"/>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cat>
            <c:strRef>
              <c:f>PowerPivot!$A$36:$A$45</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PowerPivot!$C$36:$C$45</c:f>
              <c:numCache>
                <c:formatCode>0.00%</c:formatCode>
                <c:ptCount val="10"/>
                <c:pt idx="0">
                  <c:v>0.83005311918806612</c:v>
                </c:pt>
                <c:pt idx="1">
                  <c:v>0.8199270980103659</c:v>
                </c:pt>
                <c:pt idx="2">
                  <c:v>0.82102300233757974</c:v>
                </c:pt>
                <c:pt idx="3">
                  <c:v>0.84115454329672223</c:v>
                </c:pt>
                <c:pt idx="4">
                  <c:v>0.84223602114865648</c:v>
                </c:pt>
                <c:pt idx="5">
                  <c:v>0.86326055906957766</c:v>
                </c:pt>
                <c:pt idx="6">
                  <c:v>0.87593658339113611</c:v>
                </c:pt>
                <c:pt idx="7">
                  <c:v>0.87570574204930574</c:v>
                </c:pt>
                <c:pt idx="8">
                  <c:v>0.86008858674808431</c:v>
                </c:pt>
                <c:pt idx="9">
                  <c:v>0.88721346461657857</c:v>
                </c:pt>
              </c:numCache>
            </c:numRef>
          </c:val>
          <c:smooth val="0"/>
          <c:extLst>
            <c:ext xmlns:c16="http://schemas.microsoft.com/office/drawing/2014/chart" uri="{C3380CC4-5D6E-409C-BE32-E72D297353CC}">
              <c16:uniqueId val="{00000001-88CB-4E16-93C0-F05A51B6ADCD}"/>
            </c:ext>
          </c:extLst>
        </c:ser>
        <c:dLbls>
          <c:showLegendKey val="0"/>
          <c:showVal val="0"/>
          <c:showCatName val="0"/>
          <c:showSerName val="0"/>
          <c:showPercent val="0"/>
          <c:showBubbleSize val="0"/>
        </c:dLbls>
        <c:marker val="1"/>
        <c:smooth val="0"/>
        <c:axId val="1453910080"/>
        <c:axId val="1453911520"/>
      </c:lineChart>
      <c:catAx>
        <c:axId val="145391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1520"/>
        <c:crosses val="autoZero"/>
        <c:auto val="1"/>
        <c:lblAlgn val="ctr"/>
        <c:lblOffset val="100"/>
        <c:noMultiLvlLbl val="0"/>
      </c:catAx>
      <c:valAx>
        <c:axId val="1453911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0080"/>
        <c:crosses val="autoZero"/>
        <c:crossBetween val="between"/>
      </c:valAx>
      <c:valAx>
        <c:axId val="14583878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89296"/>
        <c:crosses val="max"/>
        <c:crossBetween val="between"/>
      </c:valAx>
      <c:catAx>
        <c:axId val="1458389296"/>
        <c:scaling>
          <c:orientation val="minMax"/>
        </c:scaling>
        <c:delete val="1"/>
        <c:axPos val="b"/>
        <c:numFmt formatCode="General" sourceLinked="1"/>
        <c:majorTickMark val="none"/>
        <c:minorTickMark val="none"/>
        <c:tickLblPos val="nextTo"/>
        <c:crossAx val="1458387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Industries.xlsx]PowerPivot!PivotTable4</c:name>
    <c:fmtId val="17"/>
  </c:pivotSource>
  <c:chart>
    <c:autoTitleDeleted val="1"/>
    <c:pivotFmts>
      <c:pivotFmt>
        <c:idx val="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PowerPivot!$B$51</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PowerPivot!$A$52:$A$61</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PowerPivot!$B$52:$B$61</c:f>
              <c:numCache>
                <c:formatCode>0.00%</c:formatCode>
                <c:ptCount val="10"/>
                <c:pt idx="0">
                  <c:v>0.6953077391834247</c:v>
                </c:pt>
                <c:pt idx="1">
                  <c:v>0.72533179457587993</c:v>
                </c:pt>
                <c:pt idx="2">
                  <c:v>0.64940685497894046</c:v>
                </c:pt>
                <c:pt idx="3">
                  <c:v>0.59708614219490241</c:v>
                </c:pt>
                <c:pt idx="4">
                  <c:v>0.58281155703077847</c:v>
                </c:pt>
                <c:pt idx="5">
                  <c:v>0.67088456488002868</c:v>
                </c:pt>
                <c:pt idx="6">
                  <c:v>0.74579246651146813</c:v>
                </c:pt>
                <c:pt idx="7">
                  <c:v>0.6609431789287904</c:v>
                </c:pt>
                <c:pt idx="8">
                  <c:v>0.56492878258532653</c:v>
                </c:pt>
                <c:pt idx="9">
                  <c:v>0.60657457898267764</c:v>
                </c:pt>
              </c:numCache>
            </c:numRef>
          </c:val>
          <c:smooth val="0"/>
          <c:extLst>
            <c:ext xmlns:c16="http://schemas.microsoft.com/office/drawing/2014/chart" uri="{C3380CC4-5D6E-409C-BE32-E72D297353CC}">
              <c16:uniqueId val="{00000000-5D5C-4EEE-A7A3-2B957DDBCD96}"/>
            </c:ext>
          </c:extLst>
        </c:ser>
        <c:dLbls>
          <c:dLblPos val="b"/>
          <c:showLegendKey val="0"/>
          <c:showVal val="1"/>
          <c:showCatName val="0"/>
          <c:showSerName val="0"/>
          <c:showPercent val="0"/>
          <c:showBubbleSize val="0"/>
        </c:dLbls>
        <c:marker val="1"/>
        <c:smooth val="0"/>
        <c:axId val="1458390736"/>
        <c:axId val="1458388816"/>
      </c:lineChart>
      <c:catAx>
        <c:axId val="145839073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88816"/>
        <c:crosses val="autoZero"/>
        <c:auto val="1"/>
        <c:lblAlgn val="ctr"/>
        <c:lblOffset val="100"/>
        <c:noMultiLvlLbl val="0"/>
      </c:catAx>
      <c:valAx>
        <c:axId val="145838881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9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Industries.xlsx]PowerPivot!PivotTable6</c:name>
    <c:fmtId val="19"/>
  </c:pivotSource>
  <c:chart>
    <c:autoTitleDeleted val="0"/>
    <c:pivotFmts>
      <c:pivotFmt>
        <c:idx val="0"/>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8534996452477"/>
          <c:y val="5.5555555555555552E-2"/>
          <c:w val="0.81536560941930447"/>
          <c:h val="0.80657626130067073"/>
        </c:manualLayout>
      </c:layout>
      <c:barChart>
        <c:barDir val="col"/>
        <c:grouping val="clustered"/>
        <c:varyColors val="0"/>
        <c:ser>
          <c:idx val="0"/>
          <c:order val="0"/>
          <c:tx>
            <c:strRef>
              <c:f>PowerPivot!$B$68</c:f>
              <c:strCache>
                <c:ptCount val="1"/>
                <c:pt idx="0">
                  <c:v>Revenue YOY %</c:v>
                </c:pt>
              </c:strCache>
            </c:strRef>
          </c:tx>
          <c:spPr>
            <a:solidFill>
              <a:schemeClr val="accent1"/>
            </a:solidFill>
            <a:ln>
              <a:noFill/>
            </a:ln>
            <a:effectLst>
              <a:outerShdw blurRad="50800" dist="25400" algn="bl" rotWithShape="0">
                <a:srgbClr val="000000">
                  <a:alpha val="60000"/>
                </a:srgbClr>
              </a:outerShdw>
            </a:effectLst>
          </c:spPr>
          <c:invertIfNegative val="0"/>
          <c:cat>
            <c:strRef>
              <c:f>PowerPivot!$A$69:$A$78</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PowerPivot!$B$69:$B$78</c:f>
              <c:numCache>
                <c:formatCode>0.00%</c:formatCode>
                <c:ptCount val="10"/>
                <c:pt idx="0">
                  <c:v>0</c:v>
                </c:pt>
                <c:pt idx="1">
                  <c:v>3.8206116258096251E-2</c:v>
                </c:pt>
                <c:pt idx="2">
                  <c:v>0.2019601241910747</c:v>
                </c:pt>
                <c:pt idx="3">
                  <c:v>0.28201723446339405</c:v>
                </c:pt>
                <c:pt idx="4">
                  <c:v>-9.3452624991908165E-2</c:v>
                </c:pt>
                <c:pt idx="5">
                  <c:v>-0.27089500947643091</c:v>
                </c:pt>
                <c:pt idx="6">
                  <c:v>0.72378290144868396</c:v>
                </c:pt>
                <c:pt idx="7">
                  <c:v>0.27341961540009424</c:v>
                </c:pt>
                <c:pt idx="8">
                  <c:v>-1.1156162101768143E-2</c:v>
                </c:pt>
                <c:pt idx="9">
                  <c:v>-3.0988441610203268E-2</c:v>
                </c:pt>
              </c:numCache>
            </c:numRef>
          </c:val>
          <c:extLst>
            <c:ext xmlns:c16="http://schemas.microsoft.com/office/drawing/2014/chart" uri="{C3380CC4-5D6E-409C-BE32-E72D297353CC}">
              <c16:uniqueId val="{00000000-9595-43A7-92ED-7DB972E17E71}"/>
            </c:ext>
          </c:extLst>
        </c:ser>
        <c:ser>
          <c:idx val="1"/>
          <c:order val="1"/>
          <c:tx>
            <c:strRef>
              <c:f>PowerPivot!$C$68</c:f>
              <c:strCache>
                <c:ptCount val="1"/>
                <c:pt idx="0">
                  <c:v>Net Profit YOY %</c:v>
                </c:pt>
              </c:strCache>
            </c:strRef>
          </c:tx>
          <c:spPr>
            <a:solidFill>
              <a:schemeClr val="accent2"/>
            </a:solidFill>
            <a:ln>
              <a:noFill/>
            </a:ln>
            <a:effectLst>
              <a:outerShdw blurRad="50800" dist="25400" algn="bl" rotWithShape="0">
                <a:srgbClr val="000000">
                  <a:alpha val="60000"/>
                </a:srgbClr>
              </a:outerShdw>
            </a:effectLst>
          </c:spPr>
          <c:invertIfNegative val="0"/>
          <c:cat>
            <c:strRef>
              <c:f>PowerPivot!$A$69:$A$78</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PowerPivot!$C$69:$C$78</c:f>
              <c:numCache>
                <c:formatCode>0.00%</c:formatCode>
                <c:ptCount val="10"/>
                <c:pt idx="0">
                  <c:v>0</c:v>
                </c:pt>
                <c:pt idx="1">
                  <c:v>0.14756792287467135</c:v>
                </c:pt>
                <c:pt idx="2">
                  <c:v>6.959427207637231E-2</c:v>
                </c:pt>
                <c:pt idx="3">
                  <c:v>4.6144234202070686E-2</c:v>
                </c:pt>
                <c:pt idx="4">
                  <c:v>-0.12115007251940961</c:v>
                </c:pt>
                <c:pt idx="5">
                  <c:v>-0.27256253438177525</c:v>
                </c:pt>
                <c:pt idx="6">
                  <c:v>0.73861209964412811</c:v>
                </c:pt>
                <c:pt idx="7">
                  <c:v>0.13064169481117593</c:v>
                </c:pt>
                <c:pt idx="8">
                  <c:v>-4.8608282416836388E-2</c:v>
                </c:pt>
                <c:pt idx="9">
                  <c:v>-0.16126730412444698</c:v>
                </c:pt>
              </c:numCache>
            </c:numRef>
          </c:val>
          <c:extLst>
            <c:ext xmlns:c16="http://schemas.microsoft.com/office/drawing/2014/chart" uri="{C3380CC4-5D6E-409C-BE32-E72D297353CC}">
              <c16:uniqueId val="{00000001-9595-43A7-92ED-7DB972E17E71}"/>
            </c:ext>
          </c:extLst>
        </c:ser>
        <c:dLbls>
          <c:showLegendKey val="0"/>
          <c:showVal val="0"/>
          <c:showCatName val="0"/>
          <c:showSerName val="0"/>
          <c:showPercent val="0"/>
          <c:showBubbleSize val="0"/>
        </c:dLbls>
        <c:gapWidth val="100"/>
        <c:overlap val="-24"/>
        <c:axId val="1323126912"/>
        <c:axId val="1323117312"/>
      </c:barChart>
      <c:catAx>
        <c:axId val="13231269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17312"/>
        <c:crosses val="autoZero"/>
        <c:auto val="1"/>
        <c:lblAlgn val="ctr"/>
        <c:lblOffset val="100"/>
        <c:noMultiLvlLbl val="0"/>
      </c:catAx>
      <c:valAx>
        <c:axId val="132311731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2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Industries.xlsx]PowerPivot!PivotTable7</c:name>
    <c:fmtId val="29"/>
  </c:pivotSource>
  <c:chart>
    <c:autoTitleDeleted val="0"/>
    <c:pivotFmts>
      <c:pivotFmt>
        <c:idx val="0"/>
        <c:spPr>
          <a:solidFill>
            <a:schemeClr val="accent2">
              <a:lumMod val="60000"/>
              <a:lumOff val="40000"/>
            </a:schemeClr>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PowerPivot!$B$84</c:f>
              <c:strCache>
                <c:ptCount val="1"/>
                <c:pt idx="0">
                  <c:v>EPS (₹)</c:v>
                </c:pt>
              </c:strCache>
            </c:strRef>
          </c:tx>
          <c:spPr>
            <a:solidFill>
              <a:schemeClr val="accent2">
                <a:lumMod val="60000"/>
                <a:lumOff val="40000"/>
              </a:schemeClr>
            </a:solidFill>
            <a:ln>
              <a:noFill/>
            </a:ln>
            <a:effectLst>
              <a:outerShdw blurRad="50800" dist="25400" algn="bl" rotWithShape="0">
                <a:srgbClr val="000000">
                  <a:alpha val="60000"/>
                </a:srgbClr>
              </a:outerShdw>
            </a:effectLst>
          </c:spPr>
          <c:invertIfNegative val="0"/>
          <c:cat>
            <c:strRef>
              <c:f>PowerPivot!$A$85:$A$94</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PowerPivot!$B$85:$B$94</c:f>
              <c:numCache>
                <c:formatCode>0.0</c:formatCode>
                <c:ptCount val="10"/>
                <c:pt idx="0">
                  <c:v>19.806448813088576</c:v>
                </c:pt>
                <c:pt idx="1">
                  <c:v>22.653220109283314</c:v>
                </c:pt>
                <c:pt idx="2">
                  <c:v>24.872168655976438</c:v>
                </c:pt>
                <c:pt idx="3">
                  <c:v>26.003135491695385</c:v>
                </c:pt>
                <c:pt idx="4">
                  <c:v>22.850994920029283</c:v>
                </c:pt>
                <c:pt idx="5">
                  <c:v>25.194614674774623</c:v>
                </c:pt>
                <c:pt idx="6">
                  <c:v>28.887344971839937</c:v>
                </c:pt>
                <c:pt idx="7">
                  <c:v>32.657857396239805</c:v>
                </c:pt>
                <c:pt idx="8">
                  <c:v>31.069955806494523</c:v>
                </c:pt>
                <c:pt idx="9">
                  <c:v>26.057462090981645</c:v>
                </c:pt>
              </c:numCache>
            </c:numRef>
          </c:val>
          <c:extLst>
            <c:ext xmlns:c16="http://schemas.microsoft.com/office/drawing/2014/chart" uri="{C3380CC4-5D6E-409C-BE32-E72D297353CC}">
              <c16:uniqueId val="{00000000-8A39-4368-9ED0-74E56760D7DC}"/>
            </c:ext>
          </c:extLst>
        </c:ser>
        <c:dLbls>
          <c:showLegendKey val="0"/>
          <c:showVal val="0"/>
          <c:showCatName val="0"/>
          <c:showSerName val="0"/>
          <c:showPercent val="0"/>
          <c:showBubbleSize val="0"/>
        </c:dLbls>
        <c:gapWidth val="219"/>
        <c:axId val="1323132672"/>
        <c:axId val="1323116832"/>
      </c:barChart>
      <c:lineChart>
        <c:grouping val="standard"/>
        <c:varyColors val="0"/>
        <c:ser>
          <c:idx val="1"/>
          <c:order val="1"/>
          <c:tx>
            <c:strRef>
              <c:f>PowerPivot!$C$84</c:f>
              <c:strCache>
                <c:ptCount val="1"/>
                <c:pt idx="0">
                  <c:v>Share Price (₹)</c:v>
                </c:pt>
              </c:strCache>
            </c:strRef>
          </c:tx>
          <c:spPr>
            <a:ln w="31750" cap="rnd">
              <a:solidFill>
                <a:schemeClr val="accent2"/>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cat>
            <c:strRef>
              <c:f>PowerPivot!$A$85:$A$94</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PowerPivot!$C$85:$C$94</c:f>
              <c:numCache>
                <c:formatCode>General</c:formatCode>
                <c:ptCount val="10"/>
                <c:pt idx="0">
                  <c:v>237.46</c:v>
                </c:pt>
                <c:pt idx="1">
                  <c:v>300.08999999999997</c:v>
                </c:pt>
                <c:pt idx="2">
                  <c:v>401.08</c:v>
                </c:pt>
                <c:pt idx="3">
                  <c:v>619.42999999999995</c:v>
                </c:pt>
                <c:pt idx="4">
                  <c:v>506.06</c:v>
                </c:pt>
                <c:pt idx="5">
                  <c:v>918.78</c:v>
                </c:pt>
                <c:pt idx="6">
                  <c:v>1208.51</c:v>
                </c:pt>
                <c:pt idx="7">
                  <c:v>1069.21</c:v>
                </c:pt>
                <c:pt idx="8">
                  <c:v>1485.85</c:v>
                </c:pt>
                <c:pt idx="9">
                  <c:v>1275.0999999999999</c:v>
                </c:pt>
              </c:numCache>
            </c:numRef>
          </c:val>
          <c:smooth val="0"/>
          <c:extLst>
            <c:ext xmlns:c16="http://schemas.microsoft.com/office/drawing/2014/chart" uri="{C3380CC4-5D6E-409C-BE32-E72D297353CC}">
              <c16:uniqueId val="{00000001-8A39-4368-9ED0-74E56760D7DC}"/>
            </c:ext>
          </c:extLst>
        </c:ser>
        <c:dLbls>
          <c:showLegendKey val="0"/>
          <c:showVal val="0"/>
          <c:showCatName val="0"/>
          <c:showSerName val="0"/>
          <c:showPercent val="0"/>
          <c:showBubbleSize val="0"/>
        </c:dLbls>
        <c:marker val="1"/>
        <c:smooth val="0"/>
        <c:axId val="1565198352"/>
        <c:axId val="1565197872"/>
      </c:lineChart>
      <c:catAx>
        <c:axId val="13231326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16832"/>
        <c:crosses val="autoZero"/>
        <c:auto val="1"/>
        <c:lblAlgn val="ctr"/>
        <c:lblOffset val="100"/>
        <c:noMultiLvlLbl val="0"/>
      </c:catAx>
      <c:valAx>
        <c:axId val="132311683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32672"/>
        <c:crosses val="autoZero"/>
        <c:crossBetween val="between"/>
      </c:valAx>
      <c:valAx>
        <c:axId val="15651978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5198352"/>
        <c:crosses val="max"/>
        <c:crossBetween val="between"/>
      </c:valAx>
      <c:catAx>
        <c:axId val="1565198352"/>
        <c:scaling>
          <c:orientation val="minMax"/>
        </c:scaling>
        <c:delete val="1"/>
        <c:axPos val="b"/>
        <c:numFmt formatCode="General" sourceLinked="1"/>
        <c:majorTickMark val="none"/>
        <c:minorTickMark val="none"/>
        <c:tickLblPos val="nextTo"/>
        <c:crossAx val="1565197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Industries.xlsx]PowerPivot!PivotTable8</c:name>
    <c:fmtId val="38"/>
  </c:pivotSource>
  <c:chart>
    <c:autoTitleDeleted val="0"/>
    <c:pivotFmts>
      <c:pivotFmt>
        <c:idx val="0"/>
        <c:spPr>
          <a:solidFill>
            <a:srgbClr val="FFC0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PowerPivot!$B$99</c:f>
              <c:strCache>
                <c:ptCount val="1"/>
                <c:pt idx="0">
                  <c:v>P/E Ratio</c:v>
                </c:pt>
              </c:strCache>
            </c:strRef>
          </c:tx>
          <c:spPr>
            <a:solidFill>
              <a:srgbClr val="FFC000"/>
            </a:solidFill>
            <a:ln>
              <a:noFill/>
            </a:ln>
            <a:effectLst>
              <a:innerShdw blurRad="114300">
                <a:schemeClr val="accent1"/>
              </a:innerShdw>
            </a:effectLst>
          </c:spPr>
          <c:invertIfNegative val="0"/>
          <c:cat>
            <c:strRef>
              <c:f>PowerPivot!$A$100:$A$109</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PowerPivot!$B$100:$B$109</c:f>
              <c:numCache>
                <c:formatCode>General</c:formatCode>
                <c:ptCount val="10"/>
                <c:pt idx="0">
                  <c:v>11.989024496056091</c:v>
                </c:pt>
                <c:pt idx="1">
                  <c:v>13.247123303102624</c:v>
                </c:pt>
                <c:pt idx="2">
                  <c:v>16.125654563846247</c:v>
                </c:pt>
                <c:pt idx="3">
                  <c:v>23.821358012683785</c:v>
                </c:pt>
                <c:pt idx="4">
                  <c:v>22.146081681390154</c:v>
                </c:pt>
                <c:pt idx="5">
                  <c:v>36.467316998497374</c:v>
                </c:pt>
                <c:pt idx="6">
                  <c:v>41.835274275918536</c:v>
                </c:pt>
                <c:pt idx="7">
                  <c:v>32.73974734555329</c:v>
                </c:pt>
                <c:pt idx="8">
                  <c:v>47.822726535369391</c:v>
                </c:pt>
                <c:pt idx="9">
                  <c:v>48.934159264931083</c:v>
                </c:pt>
              </c:numCache>
            </c:numRef>
          </c:val>
          <c:extLst>
            <c:ext xmlns:c16="http://schemas.microsoft.com/office/drawing/2014/chart" uri="{C3380CC4-5D6E-409C-BE32-E72D297353CC}">
              <c16:uniqueId val="{00000000-D3EE-4749-8461-D9FDB17B62FF}"/>
            </c:ext>
          </c:extLst>
        </c:ser>
        <c:dLbls>
          <c:showLegendKey val="0"/>
          <c:showVal val="0"/>
          <c:showCatName val="0"/>
          <c:showSerName val="0"/>
          <c:showPercent val="0"/>
          <c:showBubbleSize val="0"/>
        </c:dLbls>
        <c:gapWidth val="150"/>
        <c:axId val="394605280"/>
        <c:axId val="394605760"/>
      </c:barChart>
      <c:lineChart>
        <c:grouping val="standard"/>
        <c:varyColors val="0"/>
        <c:ser>
          <c:idx val="1"/>
          <c:order val="1"/>
          <c:tx>
            <c:strRef>
              <c:f>PowerPivot!$C$99</c:f>
              <c:strCache>
                <c:ptCount val="1"/>
                <c:pt idx="0">
                  <c:v>EPS (₹)</c:v>
                </c:pt>
              </c:strCache>
            </c:strRef>
          </c:tx>
          <c:spPr>
            <a:ln w="28575" cap="rnd">
              <a:solidFill>
                <a:schemeClr val="accent2"/>
              </a:solidFill>
              <a:round/>
            </a:ln>
            <a:effectLst/>
          </c:spPr>
          <c:marker>
            <c:symbol val="circle"/>
            <c:size val="6"/>
            <c:spPr>
              <a:solidFill>
                <a:schemeClr val="accent2"/>
              </a:solidFill>
              <a:ln>
                <a:noFill/>
              </a:ln>
              <a:effectLst/>
            </c:spPr>
          </c:marker>
          <c:cat>
            <c:strRef>
              <c:f>PowerPivot!$A$100:$A$109</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PowerPivot!$C$100:$C$109</c:f>
              <c:numCache>
                <c:formatCode>General</c:formatCode>
                <c:ptCount val="10"/>
                <c:pt idx="0">
                  <c:v>19.806448813088576</c:v>
                </c:pt>
                <c:pt idx="1">
                  <c:v>22.653220109283314</c:v>
                </c:pt>
                <c:pt idx="2">
                  <c:v>24.872168655976438</c:v>
                </c:pt>
                <c:pt idx="3">
                  <c:v>26.003135491695385</c:v>
                </c:pt>
                <c:pt idx="4">
                  <c:v>22.850994920029283</c:v>
                </c:pt>
                <c:pt idx="5">
                  <c:v>25.194614674774623</c:v>
                </c:pt>
                <c:pt idx="6">
                  <c:v>28.887344971839937</c:v>
                </c:pt>
                <c:pt idx="7">
                  <c:v>32.657857396239805</c:v>
                </c:pt>
                <c:pt idx="8">
                  <c:v>31.069955806494523</c:v>
                </c:pt>
                <c:pt idx="9">
                  <c:v>26.057462090981645</c:v>
                </c:pt>
              </c:numCache>
            </c:numRef>
          </c:val>
          <c:smooth val="0"/>
          <c:extLst>
            <c:ext xmlns:c16="http://schemas.microsoft.com/office/drawing/2014/chart" uri="{C3380CC4-5D6E-409C-BE32-E72D297353CC}">
              <c16:uniqueId val="{00000000-50D0-428E-9CB8-55F561CA0CA1}"/>
            </c:ext>
          </c:extLst>
        </c:ser>
        <c:dLbls>
          <c:showLegendKey val="0"/>
          <c:showVal val="0"/>
          <c:showCatName val="0"/>
          <c:showSerName val="0"/>
          <c:showPercent val="0"/>
          <c:showBubbleSize val="0"/>
        </c:dLbls>
        <c:marker val="1"/>
        <c:smooth val="0"/>
        <c:axId val="394605280"/>
        <c:axId val="394605760"/>
      </c:lineChart>
      <c:catAx>
        <c:axId val="3946052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05760"/>
        <c:crosses val="autoZero"/>
        <c:auto val="1"/>
        <c:lblAlgn val="ctr"/>
        <c:lblOffset val="100"/>
        <c:noMultiLvlLbl val="0"/>
      </c:catAx>
      <c:valAx>
        <c:axId val="3946057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0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2"/>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Industries.xlsx]PowerPivot!PivotTable1</c:name>
    <c:fmtId val="28"/>
  </c:pivotSource>
  <c:chart>
    <c:autoTitleDeleted val="1"/>
    <c:pivotFmts>
      <c:pivotFmt>
        <c:idx val="0"/>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solidFill>
            <a:round/>
          </a:ln>
          <a:effectLst>
            <a:outerShdw blurRad="50800" dist="25400" algn="bl" rotWithShape="0">
              <a:srgbClr val="000000">
                <a:alpha val="60000"/>
              </a:srgbClr>
            </a:outerShdw>
          </a:effectLst>
        </c:spPr>
        <c:marker>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solidFill>
            <a:round/>
          </a:ln>
          <a:effectLst>
            <a:outerShdw blurRad="50800" dist="25400" algn="bl" rotWithShape="0">
              <a:srgbClr val="000000">
                <a:alpha val="60000"/>
              </a:srgbClr>
            </a:outerShdw>
          </a:effectLst>
        </c:spPr>
        <c:marker>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038956932369"/>
          <c:y val="4.5656721673525462E-2"/>
          <c:w val="0.85250410125539011"/>
          <c:h val="0.59866369304992939"/>
        </c:manualLayout>
      </c:layout>
      <c:lineChart>
        <c:grouping val="standard"/>
        <c:varyColors val="0"/>
        <c:ser>
          <c:idx val="0"/>
          <c:order val="0"/>
          <c:tx>
            <c:strRef>
              <c:f>PowerPivot!$B$3</c:f>
              <c:strCache>
                <c:ptCount val="1"/>
                <c:pt idx="0">
                  <c:v>Total Revenue</c:v>
                </c:pt>
              </c:strCache>
            </c:strRef>
          </c:tx>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1"/>
              </a:solidFill>
              <a:ln w="12700">
                <a:solidFill>
                  <a:schemeClr val="lt2"/>
                </a:solidFill>
                <a:round/>
              </a:ln>
              <a:effectLst>
                <a:outerShdw blurRad="50800" dist="25400" algn="bl" rotWithShape="0">
                  <a:srgbClr val="000000">
                    <a:alpha val="60000"/>
                  </a:srgbClr>
                </a:outerShdw>
              </a:effectLst>
            </c:spPr>
          </c:marker>
          <c:cat>
            <c:strRef>
              <c:f>PowerPivot!$A$4:$A$13</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PowerPivot!$B$4:$B$13</c:f>
              <c:numCache>
                <c:formatCode>General</c:formatCode>
                <c:ptCount val="10"/>
                <c:pt idx="0">
                  <c:v>231743</c:v>
                </c:pt>
                <c:pt idx="1">
                  <c:v>240597</c:v>
                </c:pt>
                <c:pt idx="2">
                  <c:v>289188</c:v>
                </c:pt>
                <c:pt idx="3">
                  <c:v>370744</c:v>
                </c:pt>
                <c:pt idx="4">
                  <c:v>336097</c:v>
                </c:pt>
                <c:pt idx="5">
                  <c:v>245050</c:v>
                </c:pt>
                <c:pt idx="6">
                  <c:v>422413</c:v>
                </c:pt>
                <c:pt idx="7">
                  <c:v>537909</c:v>
                </c:pt>
                <c:pt idx="8">
                  <c:v>531908</c:v>
                </c:pt>
                <c:pt idx="9">
                  <c:v>515425</c:v>
                </c:pt>
              </c:numCache>
            </c:numRef>
          </c:val>
          <c:smooth val="0"/>
          <c:extLst>
            <c:ext xmlns:c16="http://schemas.microsoft.com/office/drawing/2014/chart" uri="{C3380CC4-5D6E-409C-BE32-E72D297353CC}">
              <c16:uniqueId val="{00000000-DB0C-4C53-9099-9519FD88DFB9}"/>
            </c:ext>
          </c:extLst>
        </c:ser>
        <c:dLbls>
          <c:showLegendKey val="0"/>
          <c:showVal val="0"/>
          <c:showCatName val="0"/>
          <c:showSerName val="0"/>
          <c:showPercent val="0"/>
          <c:showBubbleSize val="0"/>
        </c:dLbls>
        <c:marker val="1"/>
        <c:smooth val="0"/>
        <c:axId val="1474635184"/>
        <c:axId val="943559648"/>
      </c:lineChart>
      <c:lineChart>
        <c:grouping val="standard"/>
        <c:varyColors val="0"/>
        <c:ser>
          <c:idx val="1"/>
          <c:order val="1"/>
          <c:tx>
            <c:strRef>
              <c:f>PowerPivot!$C$3</c:f>
              <c:strCache>
                <c:ptCount val="1"/>
                <c:pt idx="0">
                  <c:v>Net profit</c:v>
                </c:pt>
              </c:strCache>
            </c:strRef>
          </c:tx>
          <c:spPr>
            <a:ln w="31750" cap="rnd">
              <a:solidFill>
                <a:schemeClr val="accent2"/>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cat>
            <c:strRef>
              <c:f>PowerPivot!$A$4:$A$13</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PowerPivot!$C$4:$C$13</c:f>
              <c:numCache>
                <c:formatCode>General</c:formatCode>
                <c:ptCount val="10"/>
                <c:pt idx="0">
                  <c:v>27384</c:v>
                </c:pt>
                <c:pt idx="1">
                  <c:v>31425</c:v>
                </c:pt>
                <c:pt idx="2">
                  <c:v>33612</c:v>
                </c:pt>
                <c:pt idx="3">
                  <c:v>35163</c:v>
                </c:pt>
                <c:pt idx="4">
                  <c:v>30903</c:v>
                </c:pt>
                <c:pt idx="5">
                  <c:v>22480</c:v>
                </c:pt>
                <c:pt idx="6">
                  <c:v>39084</c:v>
                </c:pt>
                <c:pt idx="7">
                  <c:v>44190</c:v>
                </c:pt>
                <c:pt idx="8">
                  <c:v>42042</c:v>
                </c:pt>
                <c:pt idx="9">
                  <c:v>35262</c:v>
                </c:pt>
              </c:numCache>
            </c:numRef>
          </c:val>
          <c:smooth val="0"/>
          <c:extLst>
            <c:ext xmlns:c16="http://schemas.microsoft.com/office/drawing/2014/chart" uri="{C3380CC4-5D6E-409C-BE32-E72D297353CC}">
              <c16:uniqueId val="{00000001-DB0C-4C53-9099-9519FD88DFB9}"/>
            </c:ext>
          </c:extLst>
        </c:ser>
        <c:dLbls>
          <c:showLegendKey val="0"/>
          <c:showVal val="0"/>
          <c:showCatName val="0"/>
          <c:showSerName val="0"/>
          <c:showPercent val="0"/>
          <c:showBubbleSize val="0"/>
        </c:dLbls>
        <c:marker val="1"/>
        <c:smooth val="0"/>
        <c:axId val="1558630815"/>
        <c:axId val="1558622655"/>
      </c:lineChart>
      <c:catAx>
        <c:axId val="14746351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3559648"/>
        <c:crosses val="autoZero"/>
        <c:auto val="1"/>
        <c:lblAlgn val="ctr"/>
        <c:lblOffset val="100"/>
        <c:noMultiLvlLbl val="0"/>
      </c:catAx>
      <c:valAx>
        <c:axId val="9435596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474635184"/>
        <c:crosses val="autoZero"/>
        <c:crossBetween val="between"/>
      </c:valAx>
      <c:valAx>
        <c:axId val="1558622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8630815"/>
        <c:crosses val="max"/>
        <c:crossBetween val="between"/>
      </c:valAx>
      <c:catAx>
        <c:axId val="1558630815"/>
        <c:scaling>
          <c:orientation val="minMax"/>
        </c:scaling>
        <c:delete val="1"/>
        <c:axPos val="b"/>
        <c:numFmt formatCode="General" sourceLinked="1"/>
        <c:majorTickMark val="out"/>
        <c:minorTickMark val="none"/>
        <c:tickLblPos val="nextTo"/>
        <c:crossAx val="1558622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noFill/>
      <a:prstDash val="lgDash"/>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Industries.xlsx]PowerPivot!PivotTable3</c:name>
    <c:fmtId val="24"/>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PowerPivot!$B$35</c:f>
              <c:strCache>
                <c:ptCount val="1"/>
                <c:pt idx="0">
                  <c:v>OPM (%)</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PowerPivot!$A$36:$A$45</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PowerPivot!$B$36:$B$45</c:f>
              <c:numCache>
                <c:formatCode>0.00%</c:formatCode>
                <c:ptCount val="10"/>
                <c:pt idx="0">
                  <c:v>0.1699468808119339</c:v>
                </c:pt>
                <c:pt idx="1">
                  <c:v>0.18007290198963413</c:v>
                </c:pt>
                <c:pt idx="2">
                  <c:v>0.17897699766242028</c:v>
                </c:pt>
                <c:pt idx="3">
                  <c:v>0.15884545670327774</c:v>
                </c:pt>
                <c:pt idx="4">
                  <c:v>0.15776397885134352</c:v>
                </c:pt>
                <c:pt idx="5">
                  <c:v>0.13673944093042237</c:v>
                </c:pt>
                <c:pt idx="6">
                  <c:v>0.12406341660886383</c:v>
                </c:pt>
                <c:pt idx="7">
                  <c:v>0.12429425795069426</c:v>
                </c:pt>
                <c:pt idx="8">
                  <c:v>0.13991141325191575</c:v>
                </c:pt>
                <c:pt idx="9">
                  <c:v>0.11278653538342145</c:v>
                </c:pt>
              </c:numCache>
            </c:numRef>
          </c:val>
          <c:extLst>
            <c:ext xmlns:c16="http://schemas.microsoft.com/office/drawing/2014/chart" uri="{C3380CC4-5D6E-409C-BE32-E72D297353CC}">
              <c16:uniqueId val="{00000000-24F2-4659-985B-197A514A76A4}"/>
            </c:ext>
          </c:extLst>
        </c:ser>
        <c:dLbls>
          <c:showLegendKey val="0"/>
          <c:showVal val="0"/>
          <c:showCatName val="0"/>
          <c:showSerName val="0"/>
          <c:showPercent val="0"/>
          <c:showBubbleSize val="0"/>
        </c:dLbls>
        <c:gapWidth val="219"/>
        <c:overlap val="-27"/>
        <c:axId val="1453910080"/>
        <c:axId val="1453911520"/>
      </c:barChart>
      <c:lineChart>
        <c:grouping val="standard"/>
        <c:varyColors val="0"/>
        <c:ser>
          <c:idx val="1"/>
          <c:order val="1"/>
          <c:tx>
            <c:strRef>
              <c:f>PowerPivot!$C$35</c:f>
              <c:strCache>
                <c:ptCount val="1"/>
                <c:pt idx="0">
                  <c:v>Expense Ratio %</c:v>
                </c:pt>
              </c:strCache>
            </c:strRef>
          </c:tx>
          <c:spPr>
            <a:ln w="34925" cap="rnd">
              <a:solidFill>
                <a:schemeClr val="accent2"/>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cat>
            <c:strRef>
              <c:f>PowerPivot!$A$36:$A$45</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PowerPivot!$C$36:$C$45</c:f>
              <c:numCache>
                <c:formatCode>0.00%</c:formatCode>
                <c:ptCount val="10"/>
                <c:pt idx="0">
                  <c:v>0.83005311918806612</c:v>
                </c:pt>
                <c:pt idx="1">
                  <c:v>0.8199270980103659</c:v>
                </c:pt>
                <c:pt idx="2">
                  <c:v>0.82102300233757974</c:v>
                </c:pt>
                <c:pt idx="3">
                  <c:v>0.84115454329672223</c:v>
                </c:pt>
                <c:pt idx="4">
                  <c:v>0.84223602114865648</c:v>
                </c:pt>
                <c:pt idx="5">
                  <c:v>0.86326055906957766</c:v>
                </c:pt>
                <c:pt idx="6">
                  <c:v>0.87593658339113611</c:v>
                </c:pt>
                <c:pt idx="7">
                  <c:v>0.87570574204930574</c:v>
                </c:pt>
                <c:pt idx="8">
                  <c:v>0.86008858674808431</c:v>
                </c:pt>
                <c:pt idx="9">
                  <c:v>0.88721346461657857</c:v>
                </c:pt>
              </c:numCache>
            </c:numRef>
          </c:val>
          <c:smooth val="0"/>
          <c:extLst>
            <c:ext xmlns:c16="http://schemas.microsoft.com/office/drawing/2014/chart" uri="{C3380CC4-5D6E-409C-BE32-E72D297353CC}">
              <c16:uniqueId val="{00000001-24F2-4659-985B-197A514A76A4}"/>
            </c:ext>
          </c:extLst>
        </c:ser>
        <c:dLbls>
          <c:showLegendKey val="0"/>
          <c:showVal val="0"/>
          <c:showCatName val="0"/>
          <c:showSerName val="0"/>
          <c:showPercent val="0"/>
          <c:showBubbleSize val="0"/>
        </c:dLbls>
        <c:marker val="1"/>
        <c:smooth val="0"/>
        <c:axId val="1558635615"/>
        <c:axId val="1558638975"/>
      </c:lineChart>
      <c:catAx>
        <c:axId val="145391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1520"/>
        <c:crosses val="autoZero"/>
        <c:auto val="1"/>
        <c:lblAlgn val="ctr"/>
        <c:lblOffset val="100"/>
        <c:noMultiLvlLbl val="0"/>
      </c:catAx>
      <c:valAx>
        <c:axId val="1453911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0080"/>
        <c:crosses val="autoZero"/>
        <c:crossBetween val="between"/>
      </c:valAx>
      <c:valAx>
        <c:axId val="15586389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35615"/>
        <c:crosses val="max"/>
        <c:crossBetween val="between"/>
      </c:valAx>
      <c:catAx>
        <c:axId val="1558635615"/>
        <c:scaling>
          <c:orientation val="minMax"/>
        </c:scaling>
        <c:delete val="1"/>
        <c:axPos val="b"/>
        <c:numFmt formatCode="General" sourceLinked="1"/>
        <c:majorTickMark val="out"/>
        <c:minorTickMark val="none"/>
        <c:tickLblPos val="nextTo"/>
        <c:crossAx val="15586389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no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Industries.xlsx]PowerPivot!PivotTable6</c:name>
    <c:fmtId val="39"/>
  </c:pivotSource>
  <c:chart>
    <c:autoTitleDeleted val="0"/>
    <c:pivotFmts>
      <c:pivotFmt>
        <c:idx val="0"/>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8534996452477"/>
          <c:y val="5.5555555555555552E-2"/>
          <c:w val="0.81536560941930447"/>
          <c:h val="0.80657626130067073"/>
        </c:manualLayout>
      </c:layout>
      <c:barChart>
        <c:barDir val="col"/>
        <c:grouping val="clustered"/>
        <c:varyColors val="0"/>
        <c:ser>
          <c:idx val="0"/>
          <c:order val="0"/>
          <c:tx>
            <c:strRef>
              <c:f>PowerPivot!$B$68</c:f>
              <c:strCache>
                <c:ptCount val="1"/>
                <c:pt idx="0">
                  <c:v>Revenue YOY %</c:v>
                </c:pt>
              </c:strCache>
            </c:strRef>
          </c:tx>
          <c:spPr>
            <a:solidFill>
              <a:schemeClr val="accent1"/>
            </a:solidFill>
            <a:ln>
              <a:noFill/>
            </a:ln>
            <a:effectLst>
              <a:outerShdw blurRad="50800" dist="25400" algn="bl" rotWithShape="0">
                <a:srgbClr val="000000">
                  <a:alpha val="60000"/>
                </a:srgbClr>
              </a:outerShdw>
            </a:effectLst>
          </c:spPr>
          <c:invertIfNegative val="0"/>
          <c:cat>
            <c:strRef>
              <c:f>PowerPivot!$A$69:$A$78</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PowerPivot!$B$69:$B$78</c:f>
              <c:numCache>
                <c:formatCode>0.00%</c:formatCode>
                <c:ptCount val="10"/>
                <c:pt idx="0">
                  <c:v>0</c:v>
                </c:pt>
                <c:pt idx="1">
                  <c:v>3.8206116258096251E-2</c:v>
                </c:pt>
                <c:pt idx="2">
                  <c:v>0.2019601241910747</c:v>
                </c:pt>
                <c:pt idx="3">
                  <c:v>0.28201723446339405</c:v>
                </c:pt>
                <c:pt idx="4">
                  <c:v>-9.3452624991908165E-2</c:v>
                </c:pt>
                <c:pt idx="5">
                  <c:v>-0.27089500947643091</c:v>
                </c:pt>
                <c:pt idx="6">
                  <c:v>0.72378290144868396</c:v>
                </c:pt>
                <c:pt idx="7">
                  <c:v>0.27341961540009424</c:v>
                </c:pt>
                <c:pt idx="8">
                  <c:v>-1.1156162101768143E-2</c:v>
                </c:pt>
                <c:pt idx="9">
                  <c:v>-3.0988441610203268E-2</c:v>
                </c:pt>
              </c:numCache>
            </c:numRef>
          </c:val>
          <c:extLst>
            <c:ext xmlns:c16="http://schemas.microsoft.com/office/drawing/2014/chart" uri="{C3380CC4-5D6E-409C-BE32-E72D297353CC}">
              <c16:uniqueId val="{00000000-0E34-4B15-8546-B5F4BF9BA61D}"/>
            </c:ext>
          </c:extLst>
        </c:ser>
        <c:ser>
          <c:idx val="1"/>
          <c:order val="1"/>
          <c:tx>
            <c:strRef>
              <c:f>PowerPivot!$C$68</c:f>
              <c:strCache>
                <c:ptCount val="1"/>
                <c:pt idx="0">
                  <c:v>Net Profit YOY %</c:v>
                </c:pt>
              </c:strCache>
            </c:strRef>
          </c:tx>
          <c:spPr>
            <a:solidFill>
              <a:schemeClr val="accent2"/>
            </a:solidFill>
            <a:ln>
              <a:noFill/>
            </a:ln>
            <a:effectLst>
              <a:outerShdw blurRad="50800" dist="25400" algn="bl" rotWithShape="0">
                <a:srgbClr val="000000">
                  <a:alpha val="60000"/>
                </a:srgbClr>
              </a:outerShdw>
            </a:effectLst>
          </c:spPr>
          <c:invertIfNegative val="0"/>
          <c:cat>
            <c:strRef>
              <c:f>PowerPivot!$A$69:$A$78</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PowerPivot!$C$69:$C$78</c:f>
              <c:numCache>
                <c:formatCode>0.00%</c:formatCode>
                <c:ptCount val="10"/>
                <c:pt idx="0">
                  <c:v>0</c:v>
                </c:pt>
                <c:pt idx="1">
                  <c:v>0.14756792287467135</c:v>
                </c:pt>
                <c:pt idx="2">
                  <c:v>6.959427207637231E-2</c:v>
                </c:pt>
                <c:pt idx="3">
                  <c:v>4.6144234202070686E-2</c:v>
                </c:pt>
                <c:pt idx="4">
                  <c:v>-0.12115007251940961</c:v>
                </c:pt>
                <c:pt idx="5">
                  <c:v>-0.27256253438177525</c:v>
                </c:pt>
                <c:pt idx="6">
                  <c:v>0.73861209964412811</c:v>
                </c:pt>
                <c:pt idx="7">
                  <c:v>0.13064169481117593</c:v>
                </c:pt>
                <c:pt idx="8">
                  <c:v>-4.8608282416836388E-2</c:v>
                </c:pt>
                <c:pt idx="9">
                  <c:v>-0.16126730412444698</c:v>
                </c:pt>
              </c:numCache>
            </c:numRef>
          </c:val>
          <c:extLst>
            <c:ext xmlns:c16="http://schemas.microsoft.com/office/drawing/2014/chart" uri="{C3380CC4-5D6E-409C-BE32-E72D297353CC}">
              <c16:uniqueId val="{00000001-0E34-4B15-8546-B5F4BF9BA61D}"/>
            </c:ext>
          </c:extLst>
        </c:ser>
        <c:dLbls>
          <c:showLegendKey val="0"/>
          <c:showVal val="0"/>
          <c:showCatName val="0"/>
          <c:showSerName val="0"/>
          <c:showPercent val="0"/>
          <c:showBubbleSize val="0"/>
        </c:dLbls>
        <c:gapWidth val="100"/>
        <c:overlap val="-24"/>
        <c:axId val="1323126912"/>
        <c:axId val="1323117312"/>
      </c:barChart>
      <c:catAx>
        <c:axId val="13231269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17312"/>
        <c:crosses val="autoZero"/>
        <c:auto val="1"/>
        <c:lblAlgn val="ctr"/>
        <c:lblOffset val="100"/>
        <c:noMultiLvlLbl val="0"/>
      </c:catAx>
      <c:valAx>
        <c:axId val="132311731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2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no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Industries.xlsx]PowerPivot!PivotTable7</c:name>
    <c:fmtId val="39"/>
  </c:pivotSource>
  <c:chart>
    <c:autoTitleDeleted val="0"/>
    <c:pivotFmts>
      <c:pivotFmt>
        <c:idx val="0"/>
        <c:spPr>
          <a:solidFill>
            <a:schemeClr val="accent2">
              <a:lumMod val="60000"/>
              <a:lumOff val="40000"/>
            </a:schemeClr>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0800" dist="25400" algn="bl"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PowerPivot!$B$84</c:f>
              <c:strCache>
                <c:ptCount val="1"/>
                <c:pt idx="0">
                  <c:v>EPS (₹)</c:v>
                </c:pt>
              </c:strCache>
            </c:strRef>
          </c:tx>
          <c:spPr>
            <a:solidFill>
              <a:schemeClr val="accent2">
                <a:lumMod val="60000"/>
                <a:lumOff val="40000"/>
              </a:schemeClr>
            </a:solidFill>
            <a:ln>
              <a:noFill/>
            </a:ln>
            <a:effectLst>
              <a:outerShdw blurRad="50800" dist="25400" algn="bl" rotWithShape="0">
                <a:srgbClr val="000000">
                  <a:alpha val="60000"/>
                </a:srgbClr>
              </a:outerShdw>
            </a:effectLst>
          </c:spPr>
          <c:invertIfNegative val="0"/>
          <c:cat>
            <c:strRef>
              <c:f>PowerPivot!$A$85:$A$94</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PowerPivot!$B$85:$B$94</c:f>
              <c:numCache>
                <c:formatCode>0.0</c:formatCode>
                <c:ptCount val="10"/>
                <c:pt idx="0">
                  <c:v>19.806448813088576</c:v>
                </c:pt>
                <c:pt idx="1">
                  <c:v>22.653220109283314</c:v>
                </c:pt>
                <c:pt idx="2">
                  <c:v>24.872168655976438</c:v>
                </c:pt>
                <c:pt idx="3">
                  <c:v>26.003135491695385</c:v>
                </c:pt>
                <c:pt idx="4">
                  <c:v>22.850994920029283</c:v>
                </c:pt>
                <c:pt idx="5">
                  <c:v>25.194614674774623</c:v>
                </c:pt>
                <c:pt idx="6">
                  <c:v>28.887344971839937</c:v>
                </c:pt>
                <c:pt idx="7">
                  <c:v>32.657857396239805</c:v>
                </c:pt>
                <c:pt idx="8">
                  <c:v>31.069955806494523</c:v>
                </c:pt>
                <c:pt idx="9">
                  <c:v>26.057462090981645</c:v>
                </c:pt>
              </c:numCache>
            </c:numRef>
          </c:val>
          <c:extLst>
            <c:ext xmlns:c16="http://schemas.microsoft.com/office/drawing/2014/chart" uri="{C3380CC4-5D6E-409C-BE32-E72D297353CC}">
              <c16:uniqueId val="{00000000-7669-4FAF-ACF3-C9FC5CA67EF9}"/>
            </c:ext>
          </c:extLst>
        </c:ser>
        <c:dLbls>
          <c:showLegendKey val="0"/>
          <c:showVal val="0"/>
          <c:showCatName val="0"/>
          <c:showSerName val="0"/>
          <c:showPercent val="0"/>
          <c:showBubbleSize val="0"/>
        </c:dLbls>
        <c:gapWidth val="219"/>
        <c:axId val="1323132672"/>
        <c:axId val="1323116832"/>
      </c:barChart>
      <c:lineChart>
        <c:grouping val="standard"/>
        <c:varyColors val="0"/>
        <c:ser>
          <c:idx val="1"/>
          <c:order val="1"/>
          <c:tx>
            <c:strRef>
              <c:f>PowerPivot!$C$84</c:f>
              <c:strCache>
                <c:ptCount val="1"/>
                <c:pt idx="0">
                  <c:v>Share Price (₹)</c:v>
                </c:pt>
              </c:strCache>
            </c:strRef>
          </c:tx>
          <c:spPr>
            <a:ln w="31750" cap="rnd">
              <a:solidFill>
                <a:schemeClr val="accent2"/>
              </a:solidFill>
              <a:round/>
            </a:ln>
            <a:effectLst>
              <a:outerShdw blurRad="50800" dist="25400" algn="bl" rotWithShape="0">
                <a:srgbClr val="000000">
                  <a:alpha val="60000"/>
                </a:srgbClr>
              </a:outerShdw>
            </a:effectLst>
          </c:spPr>
          <c:marker>
            <c:symbol val="circle"/>
            <c:size val="6"/>
            <c:spPr>
              <a:solidFill>
                <a:schemeClr val="accent2"/>
              </a:solidFill>
              <a:ln w="12700">
                <a:solidFill>
                  <a:schemeClr val="lt2"/>
                </a:solidFill>
                <a:round/>
              </a:ln>
              <a:effectLst>
                <a:outerShdw blurRad="50800" dist="25400" algn="bl" rotWithShape="0">
                  <a:srgbClr val="000000">
                    <a:alpha val="60000"/>
                  </a:srgbClr>
                </a:outerShdw>
              </a:effectLst>
            </c:spPr>
          </c:marker>
          <c:cat>
            <c:strRef>
              <c:f>PowerPivot!$A$85:$A$94</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PowerPivot!$C$85:$C$94</c:f>
              <c:numCache>
                <c:formatCode>General</c:formatCode>
                <c:ptCount val="10"/>
                <c:pt idx="0">
                  <c:v>237.46</c:v>
                </c:pt>
                <c:pt idx="1">
                  <c:v>300.08999999999997</c:v>
                </c:pt>
                <c:pt idx="2">
                  <c:v>401.08</c:v>
                </c:pt>
                <c:pt idx="3">
                  <c:v>619.42999999999995</c:v>
                </c:pt>
                <c:pt idx="4">
                  <c:v>506.06</c:v>
                </c:pt>
                <c:pt idx="5">
                  <c:v>918.78</c:v>
                </c:pt>
                <c:pt idx="6">
                  <c:v>1208.51</c:v>
                </c:pt>
                <c:pt idx="7">
                  <c:v>1069.21</c:v>
                </c:pt>
                <c:pt idx="8">
                  <c:v>1485.85</c:v>
                </c:pt>
                <c:pt idx="9">
                  <c:v>1275.0999999999999</c:v>
                </c:pt>
              </c:numCache>
            </c:numRef>
          </c:val>
          <c:smooth val="0"/>
          <c:extLst>
            <c:ext xmlns:c16="http://schemas.microsoft.com/office/drawing/2014/chart" uri="{C3380CC4-5D6E-409C-BE32-E72D297353CC}">
              <c16:uniqueId val="{00000001-7669-4FAF-ACF3-C9FC5CA67EF9}"/>
            </c:ext>
          </c:extLst>
        </c:ser>
        <c:dLbls>
          <c:showLegendKey val="0"/>
          <c:showVal val="0"/>
          <c:showCatName val="0"/>
          <c:showSerName val="0"/>
          <c:showPercent val="0"/>
          <c:showBubbleSize val="0"/>
        </c:dLbls>
        <c:marker val="1"/>
        <c:smooth val="0"/>
        <c:axId val="1565198352"/>
        <c:axId val="1565197872"/>
      </c:lineChart>
      <c:catAx>
        <c:axId val="13231326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16832"/>
        <c:crosses val="autoZero"/>
        <c:auto val="1"/>
        <c:lblAlgn val="ctr"/>
        <c:lblOffset val="100"/>
        <c:noMultiLvlLbl val="0"/>
      </c:catAx>
      <c:valAx>
        <c:axId val="132311683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132672"/>
        <c:crosses val="autoZero"/>
        <c:crossBetween val="between"/>
      </c:valAx>
      <c:valAx>
        <c:axId val="15651978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5198352"/>
        <c:crosses val="max"/>
        <c:crossBetween val="between"/>
      </c:valAx>
      <c:catAx>
        <c:axId val="1565198352"/>
        <c:scaling>
          <c:orientation val="minMax"/>
        </c:scaling>
        <c:delete val="1"/>
        <c:axPos val="b"/>
        <c:numFmt formatCode="General" sourceLinked="1"/>
        <c:majorTickMark val="none"/>
        <c:minorTickMark val="none"/>
        <c:tickLblPos val="nextTo"/>
        <c:crossAx val="1565197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no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Industries.xlsx]PowerPivot!PivotTable8</c:name>
    <c:fmtId val="50"/>
  </c:pivotSource>
  <c:chart>
    <c:autoTitleDeleted val="0"/>
    <c:pivotFmts>
      <c:pivotFmt>
        <c:idx val="0"/>
        <c:spPr>
          <a:solidFill>
            <a:srgbClr val="FFC0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PowerPivot!$B$99</c:f>
              <c:strCache>
                <c:ptCount val="1"/>
                <c:pt idx="0">
                  <c:v>P/E Ratio</c:v>
                </c:pt>
              </c:strCache>
            </c:strRef>
          </c:tx>
          <c:spPr>
            <a:solidFill>
              <a:srgbClr val="FFC000"/>
            </a:solidFill>
            <a:ln>
              <a:noFill/>
            </a:ln>
            <a:effectLst>
              <a:innerShdw blurRad="114300">
                <a:schemeClr val="accent1"/>
              </a:innerShdw>
            </a:effectLst>
          </c:spPr>
          <c:invertIfNegative val="0"/>
          <c:cat>
            <c:strRef>
              <c:f>PowerPivot!$A$100:$A$109</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PowerPivot!$B$100:$B$109</c:f>
              <c:numCache>
                <c:formatCode>General</c:formatCode>
                <c:ptCount val="10"/>
                <c:pt idx="0">
                  <c:v>11.989024496056091</c:v>
                </c:pt>
                <c:pt idx="1">
                  <c:v>13.247123303102624</c:v>
                </c:pt>
                <c:pt idx="2">
                  <c:v>16.125654563846247</c:v>
                </c:pt>
                <c:pt idx="3">
                  <c:v>23.821358012683785</c:v>
                </c:pt>
                <c:pt idx="4">
                  <c:v>22.146081681390154</c:v>
                </c:pt>
                <c:pt idx="5">
                  <c:v>36.467316998497374</c:v>
                </c:pt>
                <c:pt idx="6">
                  <c:v>41.835274275918536</c:v>
                </c:pt>
                <c:pt idx="7">
                  <c:v>32.73974734555329</c:v>
                </c:pt>
                <c:pt idx="8">
                  <c:v>47.822726535369391</c:v>
                </c:pt>
                <c:pt idx="9">
                  <c:v>48.934159264931083</c:v>
                </c:pt>
              </c:numCache>
            </c:numRef>
          </c:val>
          <c:extLst>
            <c:ext xmlns:c16="http://schemas.microsoft.com/office/drawing/2014/chart" uri="{C3380CC4-5D6E-409C-BE32-E72D297353CC}">
              <c16:uniqueId val="{00000000-D79B-40D2-962F-3F767CB292F9}"/>
            </c:ext>
          </c:extLst>
        </c:ser>
        <c:dLbls>
          <c:showLegendKey val="0"/>
          <c:showVal val="0"/>
          <c:showCatName val="0"/>
          <c:showSerName val="0"/>
          <c:showPercent val="0"/>
          <c:showBubbleSize val="0"/>
        </c:dLbls>
        <c:gapWidth val="150"/>
        <c:axId val="394605280"/>
        <c:axId val="394605760"/>
      </c:barChart>
      <c:lineChart>
        <c:grouping val="standard"/>
        <c:varyColors val="0"/>
        <c:ser>
          <c:idx val="1"/>
          <c:order val="1"/>
          <c:tx>
            <c:strRef>
              <c:f>PowerPivot!$C$99</c:f>
              <c:strCache>
                <c:ptCount val="1"/>
                <c:pt idx="0">
                  <c:v>EPS (₹)</c:v>
                </c:pt>
              </c:strCache>
            </c:strRef>
          </c:tx>
          <c:spPr>
            <a:ln w="28575" cap="rnd">
              <a:solidFill>
                <a:schemeClr val="accent2"/>
              </a:solidFill>
              <a:round/>
            </a:ln>
            <a:effectLst/>
          </c:spPr>
          <c:marker>
            <c:symbol val="circle"/>
            <c:size val="6"/>
            <c:spPr>
              <a:solidFill>
                <a:schemeClr val="accent2"/>
              </a:solidFill>
              <a:ln>
                <a:noFill/>
              </a:ln>
              <a:effectLst/>
            </c:spPr>
          </c:marker>
          <c:cat>
            <c:strRef>
              <c:f>PowerPivot!$A$100:$A$109</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PowerPivot!$C$100:$C$109</c:f>
              <c:numCache>
                <c:formatCode>General</c:formatCode>
                <c:ptCount val="10"/>
                <c:pt idx="0">
                  <c:v>19.806448813088576</c:v>
                </c:pt>
                <c:pt idx="1">
                  <c:v>22.653220109283314</c:v>
                </c:pt>
                <c:pt idx="2">
                  <c:v>24.872168655976438</c:v>
                </c:pt>
                <c:pt idx="3">
                  <c:v>26.003135491695385</c:v>
                </c:pt>
                <c:pt idx="4">
                  <c:v>22.850994920029283</c:v>
                </c:pt>
                <c:pt idx="5">
                  <c:v>25.194614674774623</c:v>
                </c:pt>
                <c:pt idx="6">
                  <c:v>28.887344971839937</c:v>
                </c:pt>
                <c:pt idx="7">
                  <c:v>32.657857396239805</c:v>
                </c:pt>
                <c:pt idx="8">
                  <c:v>31.069955806494523</c:v>
                </c:pt>
                <c:pt idx="9">
                  <c:v>26.057462090981645</c:v>
                </c:pt>
              </c:numCache>
            </c:numRef>
          </c:val>
          <c:smooth val="0"/>
          <c:extLst>
            <c:ext xmlns:c16="http://schemas.microsoft.com/office/drawing/2014/chart" uri="{C3380CC4-5D6E-409C-BE32-E72D297353CC}">
              <c16:uniqueId val="{00000001-D79B-40D2-962F-3F767CB292F9}"/>
            </c:ext>
          </c:extLst>
        </c:ser>
        <c:dLbls>
          <c:showLegendKey val="0"/>
          <c:showVal val="0"/>
          <c:showCatName val="0"/>
          <c:showSerName val="0"/>
          <c:showPercent val="0"/>
          <c:showBubbleSize val="0"/>
        </c:dLbls>
        <c:marker val="1"/>
        <c:smooth val="0"/>
        <c:axId val="394605280"/>
        <c:axId val="394605760"/>
      </c:lineChart>
      <c:catAx>
        <c:axId val="3946052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05760"/>
        <c:crosses val="autoZero"/>
        <c:auto val="1"/>
        <c:lblAlgn val="ctr"/>
        <c:lblOffset val="100"/>
        <c:noMultiLvlLbl val="0"/>
      </c:catAx>
      <c:valAx>
        <c:axId val="3946057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0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no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[Reliance Industries.xlsx]PowerPivot!PivotTable4</c:name>
    <c:fmtId val="35"/>
  </c:pivotSource>
  <c:chart>
    <c:autoTitleDeleted val="1"/>
    <c:pivotFmts>
      <c:pivotFmt>
        <c:idx val="0"/>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PowerPivot!$B$51</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PowerPivot!$A$52:$A$61</c:f>
              <c:strCache>
                <c:ptCount val="10"/>
                <c:pt idx="0">
                  <c:v>FY16</c:v>
                </c:pt>
                <c:pt idx="1">
                  <c:v>FY17</c:v>
                </c:pt>
                <c:pt idx="2">
                  <c:v>FY18</c:v>
                </c:pt>
                <c:pt idx="3">
                  <c:v>FY19</c:v>
                </c:pt>
                <c:pt idx="4">
                  <c:v>FY20</c:v>
                </c:pt>
                <c:pt idx="5">
                  <c:v>FY21</c:v>
                </c:pt>
                <c:pt idx="6">
                  <c:v>FY22</c:v>
                </c:pt>
                <c:pt idx="7">
                  <c:v>FY23</c:v>
                </c:pt>
                <c:pt idx="8">
                  <c:v>FY24</c:v>
                </c:pt>
                <c:pt idx="9">
                  <c:v>FY25</c:v>
                </c:pt>
              </c:strCache>
            </c:strRef>
          </c:cat>
          <c:val>
            <c:numRef>
              <c:f>PowerPivot!$B$52:$B$61</c:f>
              <c:numCache>
                <c:formatCode>0.00%</c:formatCode>
                <c:ptCount val="10"/>
                <c:pt idx="0">
                  <c:v>0.6953077391834247</c:v>
                </c:pt>
                <c:pt idx="1">
                  <c:v>0.72533179457587993</c:v>
                </c:pt>
                <c:pt idx="2">
                  <c:v>0.64940685497894046</c:v>
                </c:pt>
                <c:pt idx="3">
                  <c:v>0.59708614219490241</c:v>
                </c:pt>
                <c:pt idx="4">
                  <c:v>0.58281155703077847</c:v>
                </c:pt>
                <c:pt idx="5">
                  <c:v>0.67088456488002868</c:v>
                </c:pt>
                <c:pt idx="6">
                  <c:v>0.74579246651146813</c:v>
                </c:pt>
                <c:pt idx="7">
                  <c:v>0.6609431789287904</c:v>
                </c:pt>
                <c:pt idx="8">
                  <c:v>0.56492878258532653</c:v>
                </c:pt>
                <c:pt idx="9">
                  <c:v>0.60657457898267764</c:v>
                </c:pt>
              </c:numCache>
            </c:numRef>
          </c:val>
          <c:smooth val="0"/>
          <c:extLst>
            <c:ext xmlns:c16="http://schemas.microsoft.com/office/drawing/2014/chart" uri="{C3380CC4-5D6E-409C-BE32-E72D297353CC}">
              <c16:uniqueId val="{00000000-D222-4378-AF7B-F34DEECC05CA}"/>
            </c:ext>
          </c:extLst>
        </c:ser>
        <c:dLbls>
          <c:dLblPos val="b"/>
          <c:showLegendKey val="0"/>
          <c:showVal val="1"/>
          <c:showCatName val="0"/>
          <c:showSerName val="0"/>
          <c:showPercent val="0"/>
          <c:showBubbleSize val="0"/>
        </c:dLbls>
        <c:marker val="1"/>
        <c:smooth val="0"/>
        <c:axId val="1458390736"/>
        <c:axId val="1458388816"/>
      </c:lineChart>
      <c:catAx>
        <c:axId val="145839073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88816"/>
        <c:crosses val="autoZero"/>
        <c:auto val="1"/>
        <c:lblAlgn val="ctr"/>
        <c:lblOffset val="100"/>
        <c:noMultiLvlLbl val="0"/>
      </c:catAx>
      <c:valAx>
        <c:axId val="145838881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9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rnd" cmpd="sng" algn="ctr">
      <a:solidFill>
        <a:schemeClr val="bg1"/>
      </a:solidFill>
      <a:prstDash val="lgDash"/>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409575</xdr:colOff>
      <xdr:row>16</xdr:row>
      <xdr:rowOff>76200</xdr:rowOff>
    </xdr:to>
    <xdr:graphicFrame macro="">
      <xdr:nvGraphicFramePr>
        <xdr:cNvPr id="4" name="Chart 3">
          <a:extLst>
            <a:ext uri="{FF2B5EF4-FFF2-40B4-BE49-F238E27FC236}">
              <a16:creationId xmlns:a16="http://schemas.microsoft.com/office/drawing/2014/main" id="{9E46E281-B46C-2F69-87D4-1A79ED3B7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17</xdr:row>
      <xdr:rowOff>166687</xdr:rowOff>
    </xdr:from>
    <xdr:to>
      <xdr:col>13</xdr:col>
      <xdr:colOff>409575</xdr:colOff>
      <xdr:row>32</xdr:row>
      <xdr:rowOff>52387</xdr:rowOff>
    </xdr:to>
    <xdr:graphicFrame macro="">
      <xdr:nvGraphicFramePr>
        <xdr:cNvPr id="5" name="Chart 4">
          <a:extLst>
            <a:ext uri="{FF2B5EF4-FFF2-40B4-BE49-F238E27FC236}">
              <a16:creationId xmlns:a16="http://schemas.microsoft.com/office/drawing/2014/main" id="{1A06E38A-1DA7-FE88-2983-94878DF80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185737</xdr:rowOff>
    </xdr:from>
    <xdr:to>
      <xdr:col>13</xdr:col>
      <xdr:colOff>409575</xdr:colOff>
      <xdr:row>48</xdr:row>
      <xdr:rowOff>71437</xdr:rowOff>
    </xdr:to>
    <xdr:graphicFrame macro="">
      <xdr:nvGraphicFramePr>
        <xdr:cNvPr id="6" name="Chart 5">
          <a:extLst>
            <a:ext uri="{FF2B5EF4-FFF2-40B4-BE49-F238E27FC236}">
              <a16:creationId xmlns:a16="http://schemas.microsoft.com/office/drawing/2014/main" id="{0485EF21-503B-32E8-D72E-0F914EA35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49</xdr:row>
      <xdr:rowOff>166687</xdr:rowOff>
    </xdr:from>
    <xdr:to>
      <xdr:col>13</xdr:col>
      <xdr:colOff>419100</xdr:colOff>
      <xdr:row>64</xdr:row>
      <xdr:rowOff>52387</xdr:rowOff>
    </xdr:to>
    <xdr:graphicFrame macro="">
      <xdr:nvGraphicFramePr>
        <xdr:cNvPr id="7" name="Chart 6">
          <a:extLst>
            <a:ext uri="{FF2B5EF4-FFF2-40B4-BE49-F238E27FC236}">
              <a16:creationId xmlns:a16="http://schemas.microsoft.com/office/drawing/2014/main" id="{C1141A48-0103-23F4-D669-42090EB79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xdr:colOff>
      <xdr:row>66</xdr:row>
      <xdr:rowOff>4762</xdr:rowOff>
    </xdr:from>
    <xdr:to>
      <xdr:col>13</xdr:col>
      <xdr:colOff>590550</xdr:colOff>
      <xdr:row>80</xdr:row>
      <xdr:rowOff>80962</xdr:rowOff>
    </xdr:to>
    <xdr:graphicFrame macro="">
      <xdr:nvGraphicFramePr>
        <xdr:cNvPr id="8" name="Chart 7">
          <a:extLst>
            <a:ext uri="{FF2B5EF4-FFF2-40B4-BE49-F238E27FC236}">
              <a16:creationId xmlns:a16="http://schemas.microsoft.com/office/drawing/2014/main" id="{2B93A10D-965A-C0F5-02D3-28BC1B6C9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9525</xdr:colOff>
      <xdr:row>82</xdr:row>
      <xdr:rowOff>4762</xdr:rowOff>
    </xdr:from>
    <xdr:to>
      <xdr:col>13</xdr:col>
      <xdr:colOff>419100</xdr:colOff>
      <xdr:row>96</xdr:row>
      <xdr:rowOff>80962</xdr:rowOff>
    </xdr:to>
    <xdr:graphicFrame macro="">
      <xdr:nvGraphicFramePr>
        <xdr:cNvPr id="9" name="Chart 8">
          <a:extLst>
            <a:ext uri="{FF2B5EF4-FFF2-40B4-BE49-F238E27FC236}">
              <a16:creationId xmlns:a16="http://schemas.microsoft.com/office/drawing/2014/main" id="{AB6D005D-EB5D-0573-BCB1-A9A45C3F8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447675</xdr:colOff>
      <xdr:row>98</xdr:row>
      <xdr:rowOff>23812</xdr:rowOff>
    </xdr:from>
    <xdr:to>
      <xdr:col>13</xdr:col>
      <xdr:colOff>390525</xdr:colOff>
      <xdr:row>112</xdr:row>
      <xdr:rowOff>100012</xdr:rowOff>
    </xdr:to>
    <xdr:graphicFrame macro="">
      <xdr:nvGraphicFramePr>
        <xdr:cNvPr id="11" name="Chart 10">
          <a:extLst>
            <a:ext uri="{FF2B5EF4-FFF2-40B4-BE49-F238E27FC236}">
              <a16:creationId xmlns:a16="http://schemas.microsoft.com/office/drawing/2014/main" id="{8CEF40ED-DC58-DD59-5C56-592F1869B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0.27027</cdr:x>
      <cdr:y>0.87326</cdr:y>
    </cdr:from>
    <cdr:to>
      <cdr:x>0.73181</cdr:x>
      <cdr:y>0.96007</cdr:y>
    </cdr:to>
    <cdr:sp macro="" textlink="">
      <cdr:nvSpPr>
        <cdr:cNvPr id="2" name="Rectangle 1">
          <a:extLst xmlns:a="http://schemas.openxmlformats.org/drawingml/2006/main">
            <a:ext uri="{FF2B5EF4-FFF2-40B4-BE49-F238E27FC236}">
              <a16:creationId xmlns:a16="http://schemas.microsoft.com/office/drawing/2014/main" id="{E534C382-664A-5F0C-C4BA-76B74F73012D}"/>
            </a:ext>
          </a:extLst>
        </cdr:cNvPr>
        <cdr:cNvSpPr/>
      </cdr:nvSpPr>
      <cdr:spPr>
        <a:xfrm xmlns:a="http://schemas.openxmlformats.org/drawingml/2006/main">
          <a:off x="1238250" y="2395538"/>
          <a:ext cx="2114550" cy="238125"/>
        </a:xfrm>
        <a:prstGeom xmlns:a="http://schemas.openxmlformats.org/drawingml/2006/main" prst="rect">
          <a:avLst/>
        </a:prstGeom>
        <a:solidFill xmlns:a="http://schemas.openxmlformats.org/drawingml/2006/main">
          <a:sysClr val="window" lastClr="FFFFFF"/>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kern="1200">
              <a:solidFill>
                <a:sysClr val="windowText" lastClr="000000"/>
              </a:solidFill>
            </a:rPr>
            <a:t>Operating</a:t>
          </a:r>
          <a:r>
            <a:rPr lang="en-US" b="1" kern="1200" baseline="0">
              <a:solidFill>
                <a:sysClr val="windowText" lastClr="000000"/>
              </a:solidFill>
            </a:rPr>
            <a:t> Profit Margin%</a:t>
          </a:r>
          <a:r>
            <a:rPr lang="en-US" b="1" kern="1200">
              <a:solidFill>
                <a:sysClr val="windowText" lastClr="000000"/>
              </a:solidFill>
            </a:rPr>
            <a:t> %</a:t>
          </a:r>
        </a:p>
      </cdr:txBody>
    </cdr:sp>
  </cdr:relSizeAnchor>
</c:userShapes>
</file>

<file path=xl/drawings/drawing3.xml><?xml version="1.0" encoding="utf-8"?>
<c:userShapes xmlns:c="http://schemas.openxmlformats.org/drawingml/2006/chart">
  <cdr:relSizeAnchor xmlns:cdr="http://schemas.openxmlformats.org/drawingml/2006/chartDrawing">
    <cdr:from>
      <cdr:x>0.3</cdr:x>
      <cdr:y>0.88021</cdr:y>
    </cdr:from>
    <cdr:to>
      <cdr:x>0.79583</cdr:x>
      <cdr:y>0.9566</cdr:y>
    </cdr:to>
    <cdr:sp macro="" textlink="">
      <cdr:nvSpPr>
        <cdr:cNvPr id="2" name="Rectangle: Rounded Corners 1">
          <a:extLst xmlns:a="http://schemas.openxmlformats.org/drawingml/2006/main">
            <a:ext uri="{FF2B5EF4-FFF2-40B4-BE49-F238E27FC236}">
              <a16:creationId xmlns:a16="http://schemas.microsoft.com/office/drawing/2014/main" id="{4E3F5C0A-6E36-E51A-25F6-3DD9B0AC4922}"/>
            </a:ext>
          </a:extLst>
        </cdr:cNvPr>
        <cdr:cNvSpPr/>
      </cdr:nvSpPr>
      <cdr:spPr>
        <a:xfrm xmlns:a="http://schemas.openxmlformats.org/drawingml/2006/main">
          <a:off x="1371600" y="2414588"/>
          <a:ext cx="2266950" cy="209550"/>
        </a:xfrm>
        <a:prstGeom xmlns:a="http://schemas.openxmlformats.org/drawingml/2006/main" prst="roundRect">
          <a:avLst/>
        </a:prstGeom>
        <a:solidFill xmlns:a="http://schemas.openxmlformats.org/drawingml/2006/main">
          <a:sysClr val="window" lastClr="FFFFFF"/>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kern="1200">
              <a:solidFill>
                <a:sysClr val="windowText" lastClr="000000"/>
              </a:solidFill>
            </a:rPr>
            <a:t>Profit Conversion ration %</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57150</xdr:colOff>
      <xdr:row>5</xdr:row>
      <xdr:rowOff>114300</xdr:rowOff>
    </xdr:from>
    <xdr:to>
      <xdr:col>3</xdr:col>
      <xdr:colOff>266700</xdr:colOff>
      <xdr:row>12</xdr:row>
      <xdr:rowOff>66675</xdr:rowOff>
    </xdr:to>
    <xdr:graphicFrame macro="">
      <xdr:nvGraphicFramePr>
        <xdr:cNvPr id="2" name="Chart 1">
          <a:extLst>
            <a:ext uri="{FF2B5EF4-FFF2-40B4-BE49-F238E27FC236}">
              <a16:creationId xmlns:a16="http://schemas.microsoft.com/office/drawing/2014/main" id="{17BC026F-BA3A-4E21-9401-132B2ACE0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40217</xdr:rowOff>
    </xdr:from>
    <xdr:to>
      <xdr:col>3</xdr:col>
      <xdr:colOff>295274</xdr:colOff>
      <xdr:row>5</xdr:row>
      <xdr:rowOff>47625</xdr:rowOff>
    </xdr:to>
    <xdr:sp macro="" textlink="">
      <xdr:nvSpPr>
        <xdr:cNvPr id="3" name="Rectangle: Rounded Corners 2">
          <a:extLst>
            <a:ext uri="{FF2B5EF4-FFF2-40B4-BE49-F238E27FC236}">
              <a16:creationId xmlns:a16="http://schemas.microsoft.com/office/drawing/2014/main" id="{911D1E74-F8AB-6F00-FA60-0FF0E6213932}"/>
            </a:ext>
          </a:extLst>
        </xdr:cNvPr>
        <xdr:cNvSpPr/>
      </xdr:nvSpPr>
      <xdr:spPr>
        <a:xfrm>
          <a:off x="0" y="926042"/>
          <a:ext cx="4391024" cy="274108"/>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Revenue Vs profit Trend</a:t>
          </a:r>
        </a:p>
      </xdr:txBody>
    </xdr:sp>
    <xdr:clientData/>
  </xdr:twoCellAnchor>
  <xdr:twoCellAnchor>
    <xdr:from>
      <xdr:col>0</xdr:col>
      <xdr:colOff>20108</xdr:colOff>
      <xdr:row>12</xdr:row>
      <xdr:rowOff>109008</xdr:rowOff>
    </xdr:from>
    <xdr:to>
      <xdr:col>3</xdr:col>
      <xdr:colOff>247650</xdr:colOff>
      <xdr:row>13</xdr:row>
      <xdr:rowOff>99484</xdr:rowOff>
    </xdr:to>
    <xdr:sp macro="" textlink="">
      <xdr:nvSpPr>
        <xdr:cNvPr id="4" name="Rectangle: Rounded Corners 3">
          <a:extLst>
            <a:ext uri="{FF2B5EF4-FFF2-40B4-BE49-F238E27FC236}">
              <a16:creationId xmlns:a16="http://schemas.microsoft.com/office/drawing/2014/main" id="{4DD94F7F-D545-4735-82A8-EBAF3B47906C}"/>
            </a:ext>
          </a:extLst>
        </xdr:cNvPr>
        <xdr:cNvSpPr/>
      </xdr:nvSpPr>
      <xdr:spPr>
        <a:xfrm>
          <a:off x="20108" y="3128433"/>
          <a:ext cx="4323292" cy="257176"/>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bg1"/>
              </a:solidFill>
            </a:rPr>
            <a:t>OPM % </a:t>
          </a:r>
          <a:r>
            <a:rPr lang="en-US" sz="1400" b="1" baseline="0">
              <a:solidFill>
                <a:schemeClr val="lt1"/>
              </a:solidFill>
              <a:effectLst/>
              <a:latin typeface="+mn-lt"/>
              <a:ea typeface="+mn-ea"/>
              <a:cs typeface="+mn-cs"/>
            </a:rPr>
            <a:t>Vs Expense Ration %</a:t>
          </a:r>
          <a:endParaRPr lang="en-US" sz="1400" b="1">
            <a:solidFill>
              <a:schemeClr val="bg1"/>
            </a:solidFill>
          </a:endParaRPr>
        </a:p>
      </xdr:txBody>
    </xdr:sp>
    <xdr:clientData/>
  </xdr:twoCellAnchor>
  <xdr:twoCellAnchor>
    <xdr:from>
      <xdr:col>0</xdr:col>
      <xdr:colOff>76200</xdr:colOff>
      <xdr:row>13</xdr:row>
      <xdr:rowOff>171450</xdr:rowOff>
    </xdr:from>
    <xdr:to>
      <xdr:col>3</xdr:col>
      <xdr:colOff>190500</xdr:colOff>
      <xdr:row>21</xdr:row>
      <xdr:rowOff>95250</xdr:rowOff>
    </xdr:to>
    <xdr:graphicFrame macro="">
      <xdr:nvGraphicFramePr>
        <xdr:cNvPr id="5" name="Chart 4">
          <a:extLst>
            <a:ext uri="{FF2B5EF4-FFF2-40B4-BE49-F238E27FC236}">
              <a16:creationId xmlns:a16="http://schemas.microsoft.com/office/drawing/2014/main" id="{2E90D5A5-57D7-45D0-B0D7-867A17DFF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333374</xdr:colOff>
      <xdr:row>4</xdr:row>
      <xdr:rowOff>49742</xdr:rowOff>
    </xdr:from>
    <xdr:to>
      <xdr:col>8</xdr:col>
      <xdr:colOff>9524</xdr:colOff>
      <xdr:row>5</xdr:row>
      <xdr:rowOff>57150</xdr:rowOff>
    </xdr:to>
    <xdr:sp macro="" textlink="">
      <xdr:nvSpPr>
        <xdr:cNvPr id="6" name="Rectangle: Rounded Corners 5">
          <a:extLst>
            <a:ext uri="{FF2B5EF4-FFF2-40B4-BE49-F238E27FC236}">
              <a16:creationId xmlns:a16="http://schemas.microsoft.com/office/drawing/2014/main" id="{E7BC458D-2902-4DF4-B252-F09CA6773E89}"/>
            </a:ext>
          </a:extLst>
        </xdr:cNvPr>
        <xdr:cNvSpPr/>
      </xdr:nvSpPr>
      <xdr:spPr>
        <a:xfrm>
          <a:off x="4429124" y="935567"/>
          <a:ext cx="4543425" cy="274108"/>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Profit</a:t>
          </a:r>
          <a:r>
            <a:rPr lang="en-US" sz="1400" b="1" baseline="0">
              <a:solidFill>
                <a:schemeClr val="bg1"/>
              </a:solidFill>
            </a:rPr>
            <a:t> Conversion ration %</a:t>
          </a:r>
          <a:endParaRPr lang="en-US" sz="1400" b="1">
            <a:solidFill>
              <a:schemeClr val="bg1"/>
            </a:solidFill>
          </a:endParaRPr>
        </a:p>
      </xdr:txBody>
    </xdr:sp>
    <xdr:clientData/>
  </xdr:twoCellAnchor>
  <xdr:twoCellAnchor>
    <xdr:from>
      <xdr:col>8</xdr:col>
      <xdr:colOff>76200</xdr:colOff>
      <xdr:row>4</xdr:row>
      <xdr:rowOff>30692</xdr:rowOff>
    </xdr:from>
    <xdr:to>
      <xdr:col>15</xdr:col>
      <xdr:colOff>247650</xdr:colOff>
      <xdr:row>5</xdr:row>
      <xdr:rowOff>19050</xdr:rowOff>
    </xdr:to>
    <xdr:sp macro="" textlink="">
      <xdr:nvSpPr>
        <xdr:cNvPr id="8" name="Rectangle: Rounded Corners 7">
          <a:extLst>
            <a:ext uri="{FF2B5EF4-FFF2-40B4-BE49-F238E27FC236}">
              <a16:creationId xmlns:a16="http://schemas.microsoft.com/office/drawing/2014/main" id="{401E0679-E1B3-450D-ACCF-90FB49E4EA3C}"/>
            </a:ext>
          </a:extLst>
        </xdr:cNvPr>
        <xdr:cNvSpPr/>
      </xdr:nvSpPr>
      <xdr:spPr>
        <a:xfrm>
          <a:off x="9039225" y="916517"/>
          <a:ext cx="4438650" cy="255058"/>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EPS</a:t>
          </a:r>
          <a:r>
            <a:rPr lang="en-US" sz="1400" b="1" baseline="0">
              <a:solidFill>
                <a:schemeClr val="bg1"/>
              </a:solidFill>
            </a:rPr>
            <a:t> (₹) Vs Share Price (₹)</a:t>
          </a:r>
          <a:endParaRPr lang="en-US" sz="1400" b="1">
            <a:solidFill>
              <a:schemeClr val="bg1"/>
            </a:solidFill>
          </a:endParaRPr>
        </a:p>
      </xdr:txBody>
    </xdr:sp>
    <xdr:clientData/>
  </xdr:twoCellAnchor>
  <xdr:twoCellAnchor>
    <xdr:from>
      <xdr:col>3</xdr:col>
      <xdr:colOff>314325</xdr:colOff>
      <xdr:row>12</xdr:row>
      <xdr:rowOff>116417</xdr:rowOff>
    </xdr:from>
    <xdr:to>
      <xdr:col>8</xdr:col>
      <xdr:colOff>76200</xdr:colOff>
      <xdr:row>13</xdr:row>
      <xdr:rowOff>85725</xdr:rowOff>
    </xdr:to>
    <xdr:sp macro="" textlink="">
      <xdr:nvSpPr>
        <xdr:cNvPr id="9" name="Rectangle: Rounded Corners 8">
          <a:extLst>
            <a:ext uri="{FF2B5EF4-FFF2-40B4-BE49-F238E27FC236}">
              <a16:creationId xmlns:a16="http://schemas.microsoft.com/office/drawing/2014/main" id="{C22E3FFB-573B-49F3-A912-5CEA35CFB5B0}"/>
            </a:ext>
          </a:extLst>
        </xdr:cNvPr>
        <xdr:cNvSpPr/>
      </xdr:nvSpPr>
      <xdr:spPr>
        <a:xfrm>
          <a:off x="4410075" y="3135842"/>
          <a:ext cx="4629150" cy="236008"/>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Revenue</a:t>
          </a:r>
          <a:r>
            <a:rPr lang="en-US" sz="1400" b="1" baseline="0">
              <a:solidFill>
                <a:schemeClr val="bg1"/>
              </a:solidFill>
            </a:rPr>
            <a:t> YOY % Vs Net profit YOY %</a:t>
          </a:r>
          <a:endParaRPr lang="en-US" sz="1400" b="1">
            <a:solidFill>
              <a:schemeClr val="bg1"/>
            </a:solidFill>
          </a:endParaRPr>
        </a:p>
      </xdr:txBody>
    </xdr:sp>
    <xdr:clientData/>
  </xdr:twoCellAnchor>
  <xdr:twoCellAnchor>
    <xdr:from>
      <xdr:col>8</xdr:col>
      <xdr:colOff>133349</xdr:colOff>
      <xdr:row>12</xdr:row>
      <xdr:rowOff>123824</xdr:rowOff>
    </xdr:from>
    <xdr:to>
      <xdr:col>15</xdr:col>
      <xdr:colOff>295274</xdr:colOff>
      <xdr:row>13</xdr:row>
      <xdr:rowOff>95249</xdr:rowOff>
    </xdr:to>
    <xdr:sp macro="" textlink="">
      <xdr:nvSpPr>
        <xdr:cNvPr id="10" name="Rectangle: Rounded Corners 9">
          <a:extLst>
            <a:ext uri="{FF2B5EF4-FFF2-40B4-BE49-F238E27FC236}">
              <a16:creationId xmlns:a16="http://schemas.microsoft.com/office/drawing/2014/main" id="{847C74C5-865A-424E-94BD-A6FBED402104}"/>
            </a:ext>
          </a:extLst>
        </xdr:cNvPr>
        <xdr:cNvSpPr/>
      </xdr:nvSpPr>
      <xdr:spPr>
        <a:xfrm>
          <a:off x="9096374" y="3143249"/>
          <a:ext cx="4429125" cy="238125"/>
        </a:xfrm>
        <a:prstGeom prst="roundRect">
          <a:avLst/>
        </a:prstGeom>
        <a:solidFill>
          <a:schemeClr val="accent4">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PE</a:t>
          </a:r>
          <a:r>
            <a:rPr lang="en-US" sz="1400" b="1" baseline="0">
              <a:solidFill>
                <a:schemeClr val="bg1"/>
              </a:solidFill>
            </a:rPr>
            <a:t> Ration Vs EPS (₹)</a:t>
          </a:r>
          <a:endParaRPr lang="en-US" sz="1400" b="1">
            <a:solidFill>
              <a:schemeClr val="bg1"/>
            </a:solidFill>
          </a:endParaRPr>
        </a:p>
      </xdr:txBody>
    </xdr:sp>
    <xdr:clientData/>
  </xdr:twoCellAnchor>
  <xdr:twoCellAnchor>
    <xdr:from>
      <xdr:col>3</xdr:col>
      <xdr:colOff>342900</xdr:colOff>
      <xdr:row>13</xdr:row>
      <xdr:rowOff>133350</xdr:rowOff>
    </xdr:from>
    <xdr:to>
      <xdr:col>8</xdr:col>
      <xdr:colOff>28575</xdr:colOff>
      <xdr:row>21</xdr:row>
      <xdr:rowOff>85725</xdr:rowOff>
    </xdr:to>
    <xdr:graphicFrame macro="">
      <xdr:nvGraphicFramePr>
        <xdr:cNvPr id="11" name="Chart 10">
          <a:extLst>
            <a:ext uri="{FF2B5EF4-FFF2-40B4-BE49-F238E27FC236}">
              <a16:creationId xmlns:a16="http://schemas.microsoft.com/office/drawing/2014/main" id="{05B61B42-7CAA-4568-B202-F0B7D3508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76199</xdr:colOff>
      <xdr:row>5</xdr:row>
      <xdr:rowOff>95249</xdr:rowOff>
    </xdr:from>
    <xdr:to>
      <xdr:col>15</xdr:col>
      <xdr:colOff>219074</xdr:colOff>
      <xdr:row>12</xdr:row>
      <xdr:rowOff>104774</xdr:rowOff>
    </xdr:to>
    <xdr:graphicFrame macro="">
      <xdr:nvGraphicFramePr>
        <xdr:cNvPr id="12" name="Chart 11">
          <a:extLst>
            <a:ext uri="{FF2B5EF4-FFF2-40B4-BE49-F238E27FC236}">
              <a16:creationId xmlns:a16="http://schemas.microsoft.com/office/drawing/2014/main" id="{C24E75B8-41B5-4875-A3FA-7825E0669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161925</xdr:colOff>
      <xdr:row>13</xdr:row>
      <xdr:rowOff>114300</xdr:rowOff>
    </xdr:from>
    <xdr:to>
      <xdr:col>15</xdr:col>
      <xdr:colOff>238125</xdr:colOff>
      <xdr:row>21</xdr:row>
      <xdr:rowOff>142875</xdr:rowOff>
    </xdr:to>
    <xdr:graphicFrame macro="">
      <xdr:nvGraphicFramePr>
        <xdr:cNvPr id="13" name="Chart 12">
          <a:extLst>
            <a:ext uri="{FF2B5EF4-FFF2-40B4-BE49-F238E27FC236}">
              <a16:creationId xmlns:a16="http://schemas.microsoft.com/office/drawing/2014/main" id="{46765F2F-57DE-4723-9BD8-170955F50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428624</xdr:colOff>
      <xdr:row>0</xdr:row>
      <xdr:rowOff>28576</xdr:rowOff>
    </xdr:from>
    <xdr:to>
      <xdr:col>15</xdr:col>
      <xdr:colOff>285749</xdr:colOff>
      <xdr:row>3</xdr:row>
      <xdr:rowOff>257175</xdr:rowOff>
    </xdr:to>
    <mc:AlternateContent xmlns:mc="http://schemas.openxmlformats.org/markup-compatibility/2006" xmlns:a14="http://schemas.microsoft.com/office/drawing/2010/main">
      <mc:Choice Requires="a14">
        <xdr:graphicFrame macro="">
          <xdr:nvGraphicFramePr>
            <xdr:cNvPr id="14" name="Financial Year">
              <a:extLst>
                <a:ext uri="{FF2B5EF4-FFF2-40B4-BE49-F238E27FC236}">
                  <a16:creationId xmlns:a16="http://schemas.microsoft.com/office/drawing/2014/main" id="{07F5B0F8-70F2-ECA1-A4D4-C7790BA6D1F5}"/>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10001249" y="28576"/>
              <a:ext cx="3514725"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361950</xdr:colOff>
      <xdr:row>5</xdr:row>
      <xdr:rowOff>123825</xdr:rowOff>
    </xdr:from>
    <xdr:to>
      <xdr:col>7</xdr:col>
      <xdr:colOff>533400</xdr:colOff>
      <xdr:row>12</xdr:row>
      <xdr:rowOff>95250</xdr:rowOff>
    </xdr:to>
    <xdr:graphicFrame macro="">
      <xdr:nvGraphicFramePr>
        <xdr:cNvPr id="7" name="Chart 6">
          <a:extLst>
            <a:ext uri="{FF2B5EF4-FFF2-40B4-BE49-F238E27FC236}">
              <a16:creationId xmlns:a16="http://schemas.microsoft.com/office/drawing/2014/main" id="{83F7CB93-E72C-4DED-B4A7-DB168E904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57150</xdr:colOff>
      <xdr:row>0</xdr:row>
      <xdr:rowOff>57150</xdr:rowOff>
    </xdr:from>
    <xdr:to>
      <xdr:col>9</xdr:col>
      <xdr:colOff>361950</xdr:colOff>
      <xdr:row>4</xdr:row>
      <xdr:rowOff>0</xdr:rowOff>
    </xdr:to>
    <xdr:sp macro="" textlink="">
      <xdr:nvSpPr>
        <xdr:cNvPr id="15" name="Rectangle: Rounded Corners 14">
          <a:extLst>
            <a:ext uri="{FF2B5EF4-FFF2-40B4-BE49-F238E27FC236}">
              <a16:creationId xmlns:a16="http://schemas.microsoft.com/office/drawing/2014/main" id="{27051317-AE65-BEAB-1D42-A9C09F223C3C}"/>
            </a:ext>
          </a:extLst>
        </xdr:cNvPr>
        <xdr:cNvSpPr/>
      </xdr:nvSpPr>
      <xdr:spPr>
        <a:xfrm>
          <a:off x="6629400" y="57150"/>
          <a:ext cx="3305175" cy="8286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238124</xdr:colOff>
      <xdr:row>0</xdr:row>
      <xdr:rowOff>152400</xdr:rowOff>
    </xdr:from>
    <xdr:to>
      <xdr:col>6</xdr:col>
      <xdr:colOff>66674</xdr:colOff>
      <xdr:row>2</xdr:row>
      <xdr:rowOff>95250</xdr:rowOff>
    </xdr:to>
    <xdr:sp macro="" textlink="">
      <xdr:nvSpPr>
        <xdr:cNvPr id="16" name="TextBox 15">
          <a:extLst>
            <a:ext uri="{FF2B5EF4-FFF2-40B4-BE49-F238E27FC236}">
              <a16:creationId xmlns:a16="http://schemas.microsoft.com/office/drawing/2014/main" id="{6D4DED06-4AC4-2ABD-A106-57A3F03D8743}"/>
            </a:ext>
          </a:extLst>
        </xdr:cNvPr>
        <xdr:cNvSpPr txBox="1"/>
      </xdr:nvSpPr>
      <xdr:spPr>
        <a:xfrm>
          <a:off x="6810374" y="152400"/>
          <a:ext cx="1000125" cy="323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100" b="1" u="none">
              <a:solidFill>
                <a:srgbClr val="0275D8"/>
              </a:solidFill>
            </a:rPr>
            <a:t>KPI CARDS </a:t>
          </a:r>
          <a:r>
            <a:rPr lang="en-US" sz="1100" b="1"/>
            <a:t>] </a:t>
          </a:r>
          <a:r>
            <a:rPr lang="en-US" sz="1100"/>
            <a:t>CARDS]RDS]</a:t>
          </a:r>
        </a:p>
      </xdr:txBody>
    </xdr:sp>
    <xdr:clientData/>
  </xdr:twoCellAnchor>
  <xdr:twoCellAnchor>
    <xdr:from>
      <xdr:col>7</xdr:col>
      <xdr:colOff>409575</xdr:colOff>
      <xdr:row>0</xdr:row>
      <xdr:rowOff>171450</xdr:rowOff>
    </xdr:from>
    <xdr:to>
      <xdr:col>9</xdr:col>
      <xdr:colOff>190500</xdr:colOff>
      <xdr:row>2</xdr:row>
      <xdr:rowOff>114300</xdr:rowOff>
    </xdr:to>
    <xdr:sp macro="" textlink="">
      <xdr:nvSpPr>
        <xdr:cNvPr id="17" name="TextBox 16">
          <a:extLst>
            <a:ext uri="{FF2B5EF4-FFF2-40B4-BE49-F238E27FC236}">
              <a16:creationId xmlns:a16="http://schemas.microsoft.com/office/drawing/2014/main" id="{76B139E6-93F2-4095-BE9D-DB3921D25893}"/>
            </a:ext>
          </a:extLst>
        </xdr:cNvPr>
        <xdr:cNvSpPr txBox="1"/>
      </xdr:nvSpPr>
      <xdr:spPr>
        <a:xfrm>
          <a:off x="8763000" y="171450"/>
          <a:ext cx="1000125" cy="323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100" b="1">
              <a:solidFill>
                <a:srgbClr val="0275D8"/>
              </a:solidFill>
            </a:rPr>
            <a:t>CHARTS</a:t>
          </a:r>
          <a:r>
            <a:rPr lang="en-US" sz="1100" b="1"/>
            <a:t> ] </a:t>
          </a:r>
          <a:r>
            <a:rPr lang="en-US" sz="1100"/>
            <a:t>CARDS]RDS]</a:t>
          </a:r>
        </a:p>
      </xdr:txBody>
    </xdr:sp>
    <xdr:clientData/>
  </xdr:twoCellAnchor>
  <xdr:twoCellAnchor>
    <xdr:from>
      <xdr:col>5</xdr:col>
      <xdr:colOff>847725</xdr:colOff>
      <xdr:row>2</xdr:row>
      <xdr:rowOff>76200</xdr:rowOff>
    </xdr:from>
    <xdr:to>
      <xdr:col>8</xdr:col>
      <xdr:colOff>457200</xdr:colOff>
      <xdr:row>3</xdr:row>
      <xdr:rowOff>161925</xdr:rowOff>
    </xdr:to>
    <xdr:sp macro="" textlink="">
      <xdr:nvSpPr>
        <xdr:cNvPr id="18" name="TextBox 17">
          <a:extLst>
            <a:ext uri="{FF2B5EF4-FFF2-40B4-BE49-F238E27FC236}">
              <a16:creationId xmlns:a16="http://schemas.microsoft.com/office/drawing/2014/main" id="{E6202114-D3E5-4935-B620-A7E464605BEB}"/>
            </a:ext>
          </a:extLst>
        </xdr:cNvPr>
        <xdr:cNvSpPr txBox="1"/>
      </xdr:nvSpPr>
      <xdr:spPr>
        <a:xfrm>
          <a:off x="7419975" y="457200"/>
          <a:ext cx="2000250" cy="323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100" b="1">
              <a:solidFill>
                <a:srgbClr val="0275D8"/>
              </a:solidFill>
            </a:rPr>
            <a:t>KEY INSIGHTS / ACTION </a:t>
          </a:r>
          <a:r>
            <a:rPr lang="en-US" sz="1100" b="1"/>
            <a:t>]</a:t>
          </a:r>
          <a:r>
            <a:rPr lang="en-US" sz="1100"/>
            <a:t> POINTS ] CARDS]RDS]</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0.29165</cdr:x>
      <cdr:y>0.8193</cdr:y>
    </cdr:from>
    <cdr:to>
      <cdr:x>0.78748</cdr:x>
      <cdr:y>0.94924</cdr:y>
    </cdr:to>
    <cdr:sp macro="" textlink="">
      <cdr:nvSpPr>
        <cdr:cNvPr id="2" name="Rectangle: Rounded Corners 1">
          <a:extLst xmlns:a="http://schemas.openxmlformats.org/drawingml/2006/main">
            <a:ext uri="{FF2B5EF4-FFF2-40B4-BE49-F238E27FC236}">
              <a16:creationId xmlns:a16="http://schemas.microsoft.com/office/drawing/2014/main" id="{4E3F5C0A-6E36-E51A-25F6-3DD9B0AC4922}"/>
            </a:ext>
          </a:extLst>
        </cdr:cNvPr>
        <cdr:cNvSpPr/>
      </cdr:nvSpPr>
      <cdr:spPr>
        <a:xfrm xmlns:a="http://schemas.openxmlformats.org/drawingml/2006/main">
          <a:off x="1330643" y="1537347"/>
          <a:ext cx="2262212" cy="243827"/>
        </a:xfrm>
        <a:prstGeom xmlns:a="http://schemas.openxmlformats.org/drawingml/2006/main" prst="roundRect">
          <a:avLst/>
        </a:prstGeom>
        <a:solidFill xmlns:a="http://schemas.openxmlformats.org/drawingml/2006/main">
          <a:sysClr val="window" lastClr="FFFFFF"/>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kern="1200">
              <a:solidFill>
                <a:sysClr val="windowText" lastClr="000000"/>
              </a:solidFill>
            </a:rPr>
            <a:t>Profit Conversion ration %</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2407404" backgroundQuery="1" createdVersion="8" refreshedVersion="8" minRefreshableVersion="3" recordCount="0" supportSubquery="1" supportAdvancedDrill="1" xr:uid="{1501518D-BC32-4E6C-B83A-A04B39024D2D}">
  <cacheSource type="external" connectionId="1"/>
  <cacheFields count="2">
    <cacheField name="[Measures].[Total Revenue]" caption="Total Revenue" numFmtId="0" hierarchy="34" level="32767"/>
    <cacheField name="[Financial].[Financial Year].[Financial Year]" caption="Financial Year" numFmtId="0" level="1">
      <sharedItems containsSemiMixedTypes="0" containsNonDate="0" containsString="0"/>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1"/>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oneField="1">
      <fieldsUsage count="1">
        <fieldUsage x="0"/>
      </fieldsUsage>
    </cacheHierarchy>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252315" backgroundQuery="1" createdVersion="8" refreshedVersion="8" minRefreshableVersion="3" recordCount="0" supportSubquery="1" supportAdvancedDrill="1" xr:uid="{18E8AAF6-54A5-4A41-9A16-491BDDEEF82E}">
  <cacheSource type="external" connectionId="1"/>
  <cacheFields count="2">
    <cacheField name="[Measures].[Total Net Profit]" caption="Total Net Profit" numFmtId="0" hierarchy="36" level="32767"/>
    <cacheField name="[Financial].[Financial Year].[Financial Year]" caption="Financial Year" numFmtId="0" level="1">
      <sharedItems containsSemiMixedTypes="0" containsNonDate="0" containsString="0"/>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1"/>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oneField="1">
      <fieldsUsage count="1">
        <fieldUsage x="0"/>
      </fieldsUsage>
    </cacheHierarchy>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2638889" backgroundQuery="1" createdVersion="8" refreshedVersion="8" minRefreshableVersion="3" recordCount="0" supportSubquery="1" supportAdvancedDrill="1" xr:uid="{01D97E6D-D67F-4468-A546-F05B76CB0FF9}">
  <cacheSource type="external" connectionId="1"/>
  <cacheFields count="2">
    <cacheField name="[Measures].[Operating Margin %]" caption="Operating Margin %" numFmtId="0" hierarchy="39" level="32767"/>
    <cacheField name="[Financial].[Financial Year].[Financial Year]" caption="Financial Year" numFmtId="0" level="1">
      <sharedItems containsSemiMixedTypes="0" containsNonDate="0" containsString="0"/>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1"/>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oneField="1">
      <fieldsUsage count="1">
        <fieldUsage x="0"/>
      </fieldsUsage>
    </cacheHierarchy>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2754628" backgroundQuery="1" createdVersion="8" refreshedVersion="8" minRefreshableVersion="3" recordCount="0" supportSubquery="1" supportAdvancedDrill="1" xr:uid="{19875A2E-6AEB-48DF-BF2A-36FC3BB717BD}">
  <cacheSource type="external" connectionId="1"/>
  <cacheFields count="2">
    <cacheField name="[Measures].[Net Margin %]" caption="Net Margin %" numFmtId="0" hierarchy="40" level="32767"/>
    <cacheField name="[Financial].[Financial Year].[Financial Year]" caption="Financial Year" numFmtId="0" level="1">
      <sharedItems containsSemiMixedTypes="0" containsNonDate="0" containsString="0"/>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1"/>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oneField="1">
      <fieldsUsage count="1">
        <fieldUsage x="0"/>
      </fieldsUsage>
    </cacheHierarchy>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2870374" backgroundQuery="1" createdVersion="8" refreshedVersion="8" minRefreshableVersion="3" recordCount="0" supportSubquery="1" supportAdvancedDrill="1" xr:uid="{C408F353-5507-4D74-B2E1-9E25C0CBC23C}">
  <cacheSource type="external" connectionId="1"/>
  <cacheFields count="2">
    <cacheField name="[Measures].[Expense Ratio %M]" caption="Expense Ratio %M" numFmtId="0" hierarchy="38" level="32767"/>
    <cacheField name="[Financial].[Financial Year].[Financial Year]" caption="Financial Year" numFmtId="0" level="1">
      <sharedItems containsSemiMixedTypes="0" containsNonDate="0" containsString="0"/>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1"/>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oneField="1">
      <fieldsUsage count="1">
        <fieldUsage x="0"/>
      </fieldsUsage>
    </cacheHierarchy>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3101851" backgroundQuery="1" createdVersion="8" refreshedVersion="8" minRefreshableVersion="3" recordCount="0" supportSubquery="1" supportAdvancedDrill="1" xr:uid="{85CFB440-0FD9-4AD9-AB65-558DA725465D}">
  <cacheSource type="external" connectionId="1"/>
  <cacheFields count="3">
    <cacheField name="[Financial].[Financial Year].[Financial Year]" caption="Financial Year" numFmtId="0" level="1">
      <sharedItems count="10">
        <s v="FY16"/>
        <s v="FY17"/>
        <s v="FY18"/>
        <s v="FY19"/>
        <s v="FY20"/>
        <s v="FY21"/>
        <s v="FY22"/>
        <s v="FY23"/>
        <s v="FY24"/>
        <s v="FY25"/>
      </sharedItems>
    </cacheField>
    <cacheField name="[Measures].[Sum of Revenue]" caption="Sum of Revenue" numFmtId="0" hierarchy="21" level="32767"/>
    <cacheField name="[Measures].[Sum of Net profit]" caption="Sum of Net profit" numFmtId="0" hierarchy="26"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oneField="1">
      <fieldsUsage count="1">
        <fieldUsage x="1"/>
      </fieldsUsage>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oneField="1">
      <fieldsUsage count="1">
        <fieldUsage x="2"/>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3564813" backgroundQuery="1" createdVersion="8" refreshedVersion="8" minRefreshableVersion="3" recordCount="0" supportSubquery="1" supportAdvancedDrill="1" xr:uid="{3BCA987A-9DEC-4D65-A0C6-46829F353B7B}">
  <cacheSource type="external" connectionId="1"/>
  <cacheFields count="2">
    <cacheField name="[Financial].[Financial Year].[Financial Year]" caption="Financial Year" numFmtId="0" level="1">
      <sharedItems count="10">
        <s v="FY16"/>
        <s v="FY17"/>
        <s v="FY18"/>
        <s v="FY19"/>
        <s v="FY20"/>
        <s v="FY21"/>
        <s v="FY22"/>
        <s v="FY23"/>
        <s v="FY24"/>
        <s v="FY25"/>
      </sharedItems>
    </cacheField>
    <cacheField name="[Measures].[Sum of OPM (%)]" caption="Sum of OPM (%)" numFmtId="0" hierarchy="28"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oneField="1">
      <fieldsUsage count="1">
        <fieldUsage x="1"/>
      </fieldsUsage>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3912036" backgroundQuery="1" createdVersion="8" refreshedVersion="8" minRefreshableVersion="3" recordCount="0" supportSubquery="1" supportAdvancedDrill="1" xr:uid="{D71DF16F-D68C-4A48-91F9-DAAED55D692A}">
  <cacheSource type="external" connectionId="1"/>
  <cacheFields count="3">
    <cacheField name="[Financial].[Financial Year].[Financial Year]" caption="Financial Year" numFmtId="0" level="1">
      <sharedItems count="10">
        <s v="FY16"/>
        <s v="FY17"/>
        <s v="FY18"/>
        <s v="FY19"/>
        <s v="FY20"/>
        <s v="FY21"/>
        <s v="FY22"/>
        <s v="FY23"/>
        <s v="FY24"/>
        <s v="FY25"/>
      </sharedItems>
    </cacheField>
    <cacheField name="[Measures].[Sum of OPM (%)]" caption="Sum of OPM (%)" numFmtId="0" hierarchy="28" level="32767"/>
    <cacheField name="[Measures].[Sum of Expense Ratio %]" caption="Sum of Expense Ratio %" numFmtId="0" hierarchy="24"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oneField="1">
      <fieldsUsage count="1">
        <fieldUsage x="2"/>
      </fieldsUsage>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oneField="1">
      <fieldsUsage count="1">
        <fieldUsage x="1"/>
      </fieldsUsage>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4259259" backgroundQuery="1" createdVersion="8" refreshedVersion="8" minRefreshableVersion="3" recordCount="0" supportSubquery="1" supportAdvancedDrill="1" xr:uid="{89ACE271-6B31-402C-AC1B-4A0361478FA7}">
  <cacheSource type="external" connectionId="1"/>
  <cacheFields count="2">
    <cacheField name="[Financial].[Financial Year].[Financial Year]" caption="Financial Year" numFmtId="0" level="1">
      <sharedItems count="10">
        <s v="FY16"/>
        <s v="FY17"/>
        <s v="FY18"/>
        <s v="FY19"/>
        <s v="FY20"/>
        <s v="FY21"/>
        <s v="FY22"/>
        <s v="FY23"/>
        <s v="FY24"/>
        <s v="FY25"/>
      </sharedItems>
    </cacheField>
    <cacheField name="[Measures].[Sum of Profit Conversion Ratio]" caption="Sum of Profit Conversion Ratio" numFmtId="0" hierarchy="23"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oneField="1">
      <fieldsUsage count="1">
        <fieldUsage x="1"/>
      </fieldsUsage>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4606483" backgroundQuery="1" createdVersion="8" refreshedVersion="8" minRefreshableVersion="3" recordCount="0" supportSubquery="1" supportAdvancedDrill="1" xr:uid="{D38B293C-B234-42E2-BFA0-712ED9A57C36}">
  <cacheSource type="external" connectionId="1"/>
  <cacheFields count="3">
    <cacheField name="[Financial].[Financial Year].[Financial Year]" caption="Financial Year" numFmtId="0" level="1">
      <sharedItems count="10">
        <s v="FY16"/>
        <s v="FY17"/>
        <s v="FY18"/>
        <s v="FY19"/>
        <s v="FY20"/>
        <s v="FY21"/>
        <s v="FY22"/>
        <s v="FY23"/>
        <s v="FY24"/>
        <s v="FY25"/>
      </sharedItems>
    </cacheField>
    <cacheField name="[Measures].[Sum of YOY Revenue growth %]" caption="Sum of YOY Revenue growth %" numFmtId="0" hierarchy="29" level="32767"/>
    <cacheField name="[Measures].[Sum of YoY Net Profit Growth %]" caption="Sum of YoY Net Profit Growth %" numFmtId="0" hierarchy="30"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oneField="1">
      <fieldsUsage count="1">
        <fieldUsage x="1"/>
      </fieldsUsage>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oneField="1">
      <fieldsUsage count="1">
        <fieldUsage x="2"/>
      </fieldsUsage>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4953706" backgroundQuery="1" createdVersion="8" refreshedVersion="8" minRefreshableVersion="3" recordCount="0" supportSubquery="1" supportAdvancedDrill="1" xr:uid="{238CE3DB-A318-4145-A85E-B0352F3E6E66}">
  <cacheSource type="external" connectionId="1"/>
  <cacheFields count="3">
    <cacheField name="[Measures].[Sum of EPS (₹)]" caption="Sum of EPS (₹)" numFmtId="0" hierarchy="31" level="32767"/>
    <cacheField name="[Measures].[Sum of Share Price (₹)]" caption="Sum of Share Price (₹)" numFmtId="0" hierarchy="32" level="32767"/>
    <cacheField name="[Financial].[Financial Year].[Financial Year]" caption="Financial Year" numFmtId="0" level="1">
      <sharedItems count="10">
        <s v="FY16"/>
        <s v="FY17"/>
        <s v="FY18"/>
        <s v="FY19"/>
        <s v="FY20"/>
        <s v="FY21"/>
        <s v="FY22"/>
        <s v="FY23"/>
        <s v="FY24"/>
        <s v="FY25"/>
      </sharedItems>
    </cacheField>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2"/>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oneField="1">
      <fieldsUsage count="1">
        <fieldUsage x="0"/>
      </fieldsUsage>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oneField="1">
      <fieldsUsage count="1">
        <fieldUsage x="1"/>
      </fieldsUsage>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225335300929" backgroundQuery="1" createdVersion="8" refreshedVersion="8" minRefreshableVersion="3" recordCount="0" supportSubquery="1" supportAdvancedDrill="1" xr:uid="{C445ECCE-6729-4D40-A0DF-BF37F19F5461}">
  <cacheSource type="external" connectionId="1"/>
  <cacheFields count="3">
    <cacheField name="[Financial].[Financial Year].[Financial Year]" caption="Financial Year" numFmtId="0" level="1">
      <sharedItems count="10">
        <s v="FY16"/>
        <s v="FY17"/>
        <s v="FY18"/>
        <s v="FY19"/>
        <s v="FY20"/>
        <s v="FY21"/>
        <s v="FY22"/>
        <s v="FY23"/>
        <s v="FY24"/>
        <s v="FY25"/>
      </sharedItems>
    </cacheField>
    <cacheField name="[Measures].[Sum of P/E Ratio]" caption="Sum of P/E Ratio" numFmtId="0" hierarchy="33" level="32767"/>
    <cacheField name="[Measures].[Sum of EPS (₹)]" caption="Sum of EPS (₹)" numFmtId="0" hierarchy="31" level="32767"/>
  </cacheFields>
  <cacheHierarchies count="43">
    <cacheHierarchy uniqueName="[Financial].[Financial Year]" caption="Financial Year" attribute="1" defaultMemberUniqueName="[Financial].[Financial Year].[All]" allUniqueName="[Financial].[Financial Year].[All]" dimensionUniqueName="[Financial]" displayFolder="" count="2" memberValueDatatype="130" unbalanced="0">
      <fieldsUsage count="2">
        <fieldUsage x="-1"/>
        <fieldUsage x="0"/>
      </fieldsUsage>
    </cacheHierarchy>
    <cacheHierarchy uniqueName="[Financial].[Revenue]" caption="Revenue" attribute="1" defaultMemberUniqueName="[Financial].[Revenue].[All]" allUniqueName="[Financial].[Revenue].[All]" dimensionUniqueName="[Financial]" displayFolder="" count="0" memberValueDatatype="20" unbalanced="0"/>
    <cacheHierarchy uniqueName="[Financial].[Expenses]" caption="Expenses" attribute="1" defaultMemberUniqueName="[Financial].[Expenses].[All]" allUniqueName="[Financial].[Expenses].[All]" dimensionUniqueName="[Financial]" displayFolder="" count="0" memberValueDatatype="20" unbalanced="0"/>
    <cacheHierarchy uniqueName="[Financial].[Operating Profit]" caption="Operating Profit" attribute="1" defaultMemberUniqueName="[Financial].[Operating Profit].[All]" allUniqueName="[Financial].[Operating Profit].[All]" dimensionUniqueName="[Financial]" displayFolder="" count="0" memberValueDatatype="20" unbalanced="0"/>
    <cacheHierarchy uniqueName="[Financial].[Other Income]" caption="Other Income" attribute="1" defaultMemberUniqueName="[Financial].[Other Income].[All]" allUniqueName="[Financial].[Other Income].[All]" dimensionUniqueName="[Financial]" displayFolder="" count="0" memberValueDatatype="20" unbalanced="0"/>
    <cacheHierarchy uniqueName="[Financial].[Depreciation]" caption="Depreciation" attribute="1" defaultMemberUniqueName="[Financial].[Depreciation].[All]" allUniqueName="[Financial].[Depreciation].[All]" dimensionUniqueName="[Financial]" displayFolder="" count="0" memberValueDatatype="20" unbalanced="0"/>
    <cacheHierarchy uniqueName="[Financial].[Interest]" caption="Interest" attribute="1" defaultMemberUniqueName="[Financial].[Interest].[All]" allUniqueName="[Financial].[Interest].[All]" dimensionUniqueName="[Financial]" displayFolder="" count="0" memberValueDatatype="20" unbalanced="0"/>
    <cacheHierarchy uniqueName="[Financial].[Profit before tax]" caption="Profit before tax" attribute="1" defaultMemberUniqueName="[Financial].[Profit before tax].[All]" allUniqueName="[Financial].[Profit before tax].[All]" dimensionUniqueName="[Financial]" displayFolder="" count="0" memberValueDatatype="20" unbalanced="0"/>
    <cacheHierarchy uniqueName="[Financial].[Tax]" caption="Tax" attribute="1" defaultMemberUniqueName="[Financial].[Tax].[All]" allUniqueName="[Financial].[Tax].[All]" dimensionUniqueName="[Financial]" displayFolder="" count="0" memberValueDatatype="20" unbalanced="0"/>
    <cacheHierarchy uniqueName="[Financial].[Net profit]" caption="Net profit" attribute="1" defaultMemberUniqueName="[Financial].[Net profit].[All]" allUniqueName="[Financial].[Net profit].[All]" dimensionUniqueName="[Financial]" displayFolder="" count="0" memberValueDatatype="20" unbalanced="0"/>
    <cacheHierarchy uniqueName="[Financial].[EPS (₹)]" caption="EPS (₹)" attribute="1" defaultMemberUniqueName="[Financial].[EPS (₹)].[All]" allUniqueName="[Financial].[EPS (₹)].[All]" dimensionUniqueName="[Financial]" displayFolder="" count="0" memberValueDatatype="5" unbalanced="0"/>
    <cacheHierarchy uniqueName="[Financial].[P/E Ratio]" caption="P/E Ratio" attribute="1" defaultMemberUniqueName="[Financial].[P/E Ratio].[All]" allUniqueName="[Financial].[P/E Ratio].[All]" dimensionUniqueName="[Financial]" displayFolder="" count="0" memberValueDatatype="5" unbalanced="0"/>
    <cacheHierarchy uniqueName="[Financial].[Share Price (₹)]" caption="Share Price (₹)" attribute="1" defaultMemberUniqueName="[Financial].[Share Price (₹)].[All]" allUniqueName="[Financial].[Share Price (₹)].[All]" dimensionUniqueName="[Financial]" displayFolder="" count="0" memberValueDatatype="5" unbalanced="0"/>
    <cacheHierarchy uniqueName="[Financial].[Profit Margin]" caption="Profit Margin" attribute="1" defaultMemberUniqueName="[Financial].[Profit Margin].[All]" allUniqueName="[Financial].[Profit Margin].[All]" dimensionUniqueName="[Financial]" displayFolder="" count="0" memberValueDatatype="5" unbalanced="0"/>
    <cacheHierarchy uniqueName="[Financial].[Dividend Payout]" caption="Dividend Payout" attribute="1" defaultMemberUniqueName="[Financial].[Dividend Payout].[All]" allUniqueName="[Financial].[Dividend Payout].[All]" dimensionUniqueName="[Financial]" displayFolder="" count="0" memberValueDatatype="5" unbalanced="0"/>
    <cacheHierarchy uniqueName="[Financial].[OPM (%)]" caption="OPM (%)" attribute="1" defaultMemberUniqueName="[Financial].[OPM (%)].[All]" allUniqueName="[Financial].[OPM (%)].[All]" dimensionUniqueName="[Financial]" displayFolder="" count="0" memberValueDatatype="5" unbalanced="0"/>
    <cacheHierarchy uniqueName="[Financial].[YOY Revenue growth %]" caption="YOY Revenue growth %" attribute="1" defaultMemberUniqueName="[Financial].[YOY Revenue growth %].[All]" allUniqueName="[Financial].[YOY Revenue growth %].[All]" dimensionUniqueName="[Financial]" displayFolder="" count="0"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0" memberValueDatatype="5" unbalanced="0"/>
    <cacheHierarchy uniqueName="[Financial].[Effective tax %]" caption="Effective tax %" attribute="1" defaultMemberUniqueName="[Financial].[Effective tax %].[All]" allUniqueName="[Financial].[Effective tax %].[All]" dimensionUniqueName="[Financial]" displayFolder="" count="0" memberValueDatatype="5" unbalanced="0"/>
    <cacheHierarchy uniqueName="[Financial].[Expense Ratio %]" caption="Expense Ratio %" attribute="1" defaultMemberUniqueName="[Financial].[Expense Ratio %].[All]" allUniqueName="[Financial].[Expense Ratio %].[All]" dimensionUniqueName="[Financial]" displayFolder="" count="0"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0" memberValueDatatype="5"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oneField="1">
      <fieldsUsage count="1">
        <fieldUsage x="2"/>
      </fieldsUsage>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oneField="1">
      <fieldsUsage count="1">
        <fieldUsage x="1"/>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ik Gupta" refreshedDate="46044.14553321759" backgroundQuery="1" createdVersion="3" refreshedVersion="8" minRefreshableVersion="3" recordCount="0" supportSubquery="1" supportAdvancedDrill="1" xr:uid="{2725DF66-06B8-4837-8530-0050EE779E29}">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Financial].[Financial Year]" caption="Financial Year" attribute="1" defaultMemberUniqueName="[Financial].[Financial Year].[All]" allUniqueName="[Financial].[Financial Year].[All]" dimensionUniqueName="[Financial]" displayFolder="" count="2" memberValueDatatype="130" unbalanced="0"/>
    <cacheHierarchy uniqueName="[Financial].[Revenue]" caption="Revenue" attribute="1" defaultMemberUniqueName="[Financial].[Revenue].[All]" allUniqueName="[Financial].[Revenue].[All]" dimensionUniqueName="[Financial]" displayFolder="" count="2" memberValueDatatype="20" unbalanced="0"/>
    <cacheHierarchy uniqueName="[Financial].[Expenses]" caption="Expenses" attribute="1" defaultMemberUniqueName="[Financial].[Expenses].[All]" allUniqueName="[Financial].[Expenses].[All]" dimensionUniqueName="[Financial]" displayFolder="" count="2" memberValueDatatype="20" unbalanced="0"/>
    <cacheHierarchy uniqueName="[Financial].[Operating Profit]" caption="Operating Profit" attribute="1" defaultMemberUniqueName="[Financial].[Operating Profit].[All]" allUniqueName="[Financial].[Operating Profit].[All]" dimensionUniqueName="[Financial]" displayFolder="" count="2" memberValueDatatype="20" unbalanced="0"/>
    <cacheHierarchy uniqueName="[Financial].[Other Income]" caption="Other Income" attribute="1" defaultMemberUniqueName="[Financial].[Other Income].[All]" allUniqueName="[Financial].[Other Income].[All]" dimensionUniqueName="[Financial]" displayFolder="" count="2" memberValueDatatype="20" unbalanced="0"/>
    <cacheHierarchy uniqueName="[Financial].[Depreciation]" caption="Depreciation" attribute="1" defaultMemberUniqueName="[Financial].[Depreciation].[All]" allUniqueName="[Financial].[Depreciation].[All]" dimensionUniqueName="[Financial]" displayFolder="" count="2" memberValueDatatype="20" unbalanced="0"/>
    <cacheHierarchy uniqueName="[Financial].[Interest]" caption="Interest" attribute="1" defaultMemberUniqueName="[Financial].[Interest].[All]" allUniqueName="[Financial].[Interest].[All]" dimensionUniqueName="[Financial]" displayFolder="" count="2" memberValueDatatype="20" unbalanced="0"/>
    <cacheHierarchy uniqueName="[Financial].[Profit before tax]" caption="Profit before tax" attribute="1" defaultMemberUniqueName="[Financial].[Profit before tax].[All]" allUniqueName="[Financial].[Profit before tax].[All]" dimensionUniqueName="[Financial]" displayFolder="" count="2" memberValueDatatype="20" unbalanced="0"/>
    <cacheHierarchy uniqueName="[Financial].[Tax]" caption="Tax" attribute="1" defaultMemberUniqueName="[Financial].[Tax].[All]" allUniqueName="[Financial].[Tax].[All]" dimensionUniqueName="[Financial]" displayFolder="" count="2" memberValueDatatype="20" unbalanced="0"/>
    <cacheHierarchy uniqueName="[Financial].[Net profit]" caption="Net profit" attribute="1" defaultMemberUniqueName="[Financial].[Net profit].[All]" allUniqueName="[Financial].[Net profit].[All]" dimensionUniqueName="[Financial]" displayFolder="" count="2" memberValueDatatype="20" unbalanced="0"/>
    <cacheHierarchy uniqueName="[Financial].[EPS (₹)]" caption="EPS (₹)" attribute="1" defaultMemberUniqueName="[Financial].[EPS (₹)].[All]" allUniqueName="[Financial].[EPS (₹)].[All]" dimensionUniqueName="[Financial]" displayFolder="" count="2" memberValueDatatype="5" unbalanced="0"/>
    <cacheHierarchy uniqueName="[Financial].[P/E Ratio]" caption="P/E Ratio" attribute="1" defaultMemberUniqueName="[Financial].[P/E Ratio].[All]" allUniqueName="[Financial].[P/E Ratio].[All]" dimensionUniqueName="[Financial]" displayFolder="" count="2" memberValueDatatype="5" unbalanced="0"/>
    <cacheHierarchy uniqueName="[Financial].[Share Price (₹)]" caption="Share Price (₹)" attribute="1" defaultMemberUniqueName="[Financial].[Share Price (₹)].[All]" allUniqueName="[Financial].[Share Price (₹)].[All]" dimensionUniqueName="[Financial]" displayFolder="" count="2" memberValueDatatype="5" unbalanced="0"/>
    <cacheHierarchy uniqueName="[Financial].[Profit Margin]" caption="Profit Margin" attribute="1" defaultMemberUniqueName="[Financial].[Profit Margin].[All]" allUniqueName="[Financial].[Profit Margin].[All]" dimensionUniqueName="[Financial]" displayFolder="" count="2" memberValueDatatype="5" unbalanced="0"/>
    <cacheHierarchy uniqueName="[Financial].[Dividend Payout]" caption="Dividend Payout" attribute="1" defaultMemberUniqueName="[Financial].[Dividend Payout].[All]" allUniqueName="[Financial].[Dividend Payout].[All]" dimensionUniqueName="[Financial]" displayFolder="" count="2" memberValueDatatype="5" unbalanced="0"/>
    <cacheHierarchy uniqueName="[Financial].[OPM (%)]" caption="OPM (%)" attribute="1" defaultMemberUniqueName="[Financial].[OPM (%)].[All]" allUniqueName="[Financial].[OPM (%)].[All]" dimensionUniqueName="[Financial]" displayFolder="" count="2" memberValueDatatype="5" unbalanced="0"/>
    <cacheHierarchy uniqueName="[Financial].[YOY Revenue growth %]" caption="YOY Revenue growth %" attribute="1" defaultMemberUniqueName="[Financial].[YOY Revenue growth %].[All]" allUniqueName="[Financial].[YOY Revenue growth %].[All]" dimensionUniqueName="[Financial]" displayFolder="" count="2" memberValueDatatype="5" unbalanced="0"/>
    <cacheHierarchy uniqueName="[Financial].[YoY Net Profit Growth %]" caption="YoY Net Profit Growth %" attribute="1" defaultMemberUniqueName="[Financial].[YoY Net Profit Growth %].[All]" allUniqueName="[Financial].[YoY Net Profit Growth %].[All]" dimensionUniqueName="[Financial]" displayFolder="" count="2" memberValueDatatype="5" unbalanced="0"/>
    <cacheHierarchy uniqueName="[Financial].[Effective tax %]" caption="Effective tax %" attribute="1" defaultMemberUniqueName="[Financial].[Effective tax %].[All]" allUniqueName="[Financial].[Effective tax %].[All]" dimensionUniqueName="[Financial]" displayFolder="" count="2" memberValueDatatype="5" unbalanced="0"/>
    <cacheHierarchy uniqueName="[Financial].[Expense Ratio %]" caption="Expense Ratio %" attribute="1" defaultMemberUniqueName="[Financial].[Expense Ratio %].[All]" allUniqueName="[Financial].[Expense Ratio %].[All]" dimensionUniqueName="[Financial]" displayFolder="" count="2" memberValueDatatype="5" unbalanced="0"/>
    <cacheHierarchy uniqueName="[Financial].[Profit Conversion Ratio]" caption="Profit Conversion Ratio" attribute="1" defaultMemberUniqueName="[Financial].[Profit Conversion Ratio].[All]" allUniqueName="[Financial].[Profit Conversion Ratio].[All]" dimensionUniqueName="[Financial]"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Sum of Revenue]" caption="Sum of Revenue" measure="1" displayFolder="" measureGroup="Financial" count="0">
      <extLst>
        <ext xmlns:x15="http://schemas.microsoft.com/office/spreadsheetml/2010/11/main" uri="{B97F6D7D-B522-45F9-BDA1-12C45D357490}">
          <x15:cacheHierarchy aggregatedColumn="1"/>
        </ext>
      </extLst>
    </cacheHierarchy>
    <cacheHierarchy uniqueName="[Measures].[Sum of Expenses]" caption="Sum of Expenses" measure="1" displayFolder="" measureGroup="Financial" count="0">
      <extLst>
        <ext xmlns:x15="http://schemas.microsoft.com/office/spreadsheetml/2010/11/main" uri="{B97F6D7D-B522-45F9-BDA1-12C45D357490}">
          <x15:cacheHierarchy aggregatedColumn="2"/>
        </ext>
      </extLst>
    </cacheHierarchy>
    <cacheHierarchy uniqueName="[Measures].[Sum of Profit Conversion Ratio]" caption="Sum of Profit Conversion Ratio" measure="1" displayFolder="" measureGroup="Financial" count="0">
      <extLst>
        <ext xmlns:x15="http://schemas.microsoft.com/office/spreadsheetml/2010/11/main" uri="{B97F6D7D-B522-45F9-BDA1-12C45D357490}">
          <x15:cacheHierarchy aggregatedColumn="20"/>
        </ext>
      </extLst>
    </cacheHierarchy>
    <cacheHierarchy uniqueName="[Measures].[Sum of Expense Ratio %]" caption="Sum of Expense Ratio %" measure="1" displayFolder="" measureGroup="Financial" count="0">
      <extLst>
        <ext xmlns:x15="http://schemas.microsoft.com/office/spreadsheetml/2010/11/main" uri="{B97F6D7D-B522-45F9-BDA1-12C45D357490}">
          <x15:cacheHierarchy aggregatedColumn="19"/>
        </ext>
      </extLst>
    </cacheHierarchy>
    <cacheHierarchy uniqueName="[Measures].[Sum of Operating Profit]" caption="Sum of Operating Profit" measure="1" displayFolder="" measureGroup="Financial" count="0">
      <extLst>
        <ext xmlns:x15="http://schemas.microsoft.com/office/spreadsheetml/2010/11/main" uri="{B97F6D7D-B522-45F9-BDA1-12C45D357490}">
          <x15:cacheHierarchy aggregatedColumn="3"/>
        </ext>
      </extLst>
    </cacheHierarchy>
    <cacheHierarchy uniqueName="[Measures].[Sum of Net profit]" caption="Sum of Net profit" measure="1" displayFolder="" measureGroup="Financial" count="0">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Financial" count="0">
      <extLst>
        <ext xmlns:x15="http://schemas.microsoft.com/office/spreadsheetml/2010/11/main" uri="{B97F6D7D-B522-45F9-BDA1-12C45D357490}">
          <x15:cacheHierarchy aggregatedColumn="13"/>
        </ext>
      </extLst>
    </cacheHierarchy>
    <cacheHierarchy uniqueName="[Measures].[Sum of OPM (%)]" caption="Sum of OPM (%)" measure="1" displayFolder="" measureGroup="Financial" count="0">
      <extLst>
        <ext xmlns:x15="http://schemas.microsoft.com/office/spreadsheetml/2010/11/main" uri="{B97F6D7D-B522-45F9-BDA1-12C45D357490}">
          <x15:cacheHierarchy aggregatedColumn="15"/>
        </ext>
      </extLst>
    </cacheHierarchy>
    <cacheHierarchy uniqueName="[Measures].[Sum of YOY Revenue growth %]" caption="Sum of YOY Revenue growth %" measure="1" displayFolder="" measureGroup="Financial" count="0">
      <extLst>
        <ext xmlns:x15="http://schemas.microsoft.com/office/spreadsheetml/2010/11/main" uri="{B97F6D7D-B522-45F9-BDA1-12C45D357490}">
          <x15:cacheHierarchy aggregatedColumn="16"/>
        </ext>
      </extLst>
    </cacheHierarchy>
    <cacheHierarchy uniqueName="[Measures].[Sum of YoY Net Profit Growth %]" caption="Sum of YoY Net Profit Growth %" measure="1" displayFolder="" measureGroup="Financial" count="0">
      <extLst>
        <ext xmlns:x15="http://schemas.microsoft.com/office/spreadsheetml/2010/11/main" uri="{B97F6D7D-B522-45F9-BDA1-12C45D357490}">
          <x15:cacheHierarchy aggregatedColumn="17"/>
        </ext>
      </extLst>
    </cacheHierarchy>
    <cacheHierarchy uniqueName="[Measures].[Sum of EPS (₹)]" caption="Sum of EPS (₹)" measure="1" displayFolder="" measureGroup="Financial" count="0">
      <extLst>
        <ext xmlns:x15="http://schemas.microsoft.com/office/spreadsheetml/2010/11/main" uri="{B97F6D7D-B522-45F9-BDA1-12C45D357490}">
          <x15:cacheHierarchy aggregatedColumn="10"/>
        </ext>
      </extLst>
    </cacheHierarchy>
    <cacheHierarchy uniqueName="[Measures].[Sum of Share Price (₹)]" caption="Sum of Share Price (₹)" measure="1" displayFolder="" measureGroup="Financial" count="0">
      <extLst>
        <ext xmlns:x15="http://schemas.microsoft.com/office/spreadsheetml/2010/11/main" uri="{B97F6D7D-B522-45F9-BDA1-12C45D357490}">
          <x15:cacheHierarchy aggregatedColumn="12"/>
        </ext>
      </extLst>
    </cacheHierarchy>
    <cacheHierarchy uniqueName="[Measures].[Sum of P/E Ratio]" caption="Sum of P/E Ratio" measure="1" displayFolder="" measureGroup="Financial"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Financial" count="0"/>
    <cacheHierarchy uniqueName="[Measures].[Total Expenses]" caption="Total Expenses" measure="1" displayFolder="" measureGroup="Financial" count="0"/>
    <cacheHierarchy uniqueName="[Measures].[Total Net Profit]" caption="Total Net Profit" measure="1" displayFolder="" measureGroup="Financial" count="0"/>
    <cacheHierarchy uniqueName="[Measures].[Total Operating Profit]" caption="Total Operating Profit" measure="1" displayFolder="" measureGroup="Financial" count="0"/>
    <cacheHierarchy uniqueName="[Measures].[Expense Ratio %M]" caption="Expense Ratio %M" measure="1" displayFolder="" measureGroup="Financial" count="0"/>
    <cacheHierarchy uniqueName="[Measures].[Operating Margin %]" caption="Operating Margin %" measure="1" displayFolder="" measureGroup="Financial" count="0"/>
    <cacheHierarchy uniqueName="[Measures].[Net Margin %]" caption="Net Margin %" measure="1" displayFolder="" measureGroup="Financial" count="0"/>
    <cacheHierarchy uniqueName="[Measures].[__XL_Count Financial]" caption="__XL_Count Financial" measure="1" displayFolder="" measureGroup="Financial" count="0" hidden="1"/>
    <cacheHierarchy uniqueName="[Measures].[__No measures defined]" caption="__No measures defined" measure="1" displayFolder="" count="0" hidden="1"/>
  </cacheHierarchies>
  <kpis count="0"/>
  <dimensions count="2">
    <dimension name="Financial" uniqueName="[Financial]" caption="Financial"/>
    <dimension measure="1" name="Measures" uniqueName="[Measures]" caption="Measures"/>
  </dimensions>
  <measureGroups count="1">
    <measureGroup name="Financial" caption="Financial"/>
  </measureGroups>
  <maps count="1">
    <map measureGroup="0" dimension="0"/>
  </maps>
  <extLst>
    <ext xmlns:x14="http://schemas.microsoft.com/office/spreadsheetml/2009/9/main" uri="{725AE2AE-9491-48be-B2B4-4EB974FC3084}">
      <x14:pivotCacheDefinition slicerData="1" pivotCacheId="475873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1B7A3-66BA-475B-845F-6DAD29A27F4D}" name="PivotTable7" cacheId="10" applyNumberFormats="0" applyBorderFormats="0" applyFontFormats="0" applyPatternFormats="0" applyAlignmentFormats="0" applyWidthHeightFormats="1" dataCaption="Values" tag="549f9145-b08c-4467-aeda-c1e3fa00e0d8" updatedVersion="8" minRefreshableVersion="3" useAutoFormatting="1" subtotalHiddenItems="1" rowGrandTotals="0" colGrandTotals="0" itemPrintTitles="1" createdVersion="8" indent="0" outline="1" outlineData="1" multipleFieldFilters="0" chartFormat="41">
  <location ref="A84:C9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0">
    <i>
      <x/>
    </i>
    <i>
      <x v="1"/>
    </i>
    <i>
      <x v="2"/>
    </i>
    <i>
      <x v="3"/>
    </i>
    <i>
      <x v="4"/>
    </i>
    <i>
      <x v="5"/>
    </i>
    <i>
      <x v="6"/>
    </i>
    <i>
      <x v="7"/>
    </i>
    <i>
      <x v="8"/>
    </i>
    <i>
      <x v="9"/>
    </i>
  </rowItems>
  <colFields count="1">
    <field x="-2"/>
  </colFields>
  <colItems count="2">
    <i>
      <x/>
    </i>
    <i i="1">
      <x v="1"/>
    </i>
  </colItems>
  <dataFields count="2">
    <dataField name="EPS (₹)" fld="0" baseField="2" baseItem="0" numFmtId="166"/>
    <dataField name="Share Price (₹)" fld="1" baseField="2"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caption="Profit Conversion Ratio %"/>
    <pivotHierarchy dragToData="1" caption="Expense Ratio %"/>
    <pivotHierarchy dragToData="1" caption="Operating Profit"/>
    <pivotHierarchy dragToData="1" caption="Net profit"/>
    <pivotHierarchy dragToData="1" caption="Profit Margin"/>
    <pivotHierarchy dragToData="1" caption="OPM (%)"/>
    <pivotHierarchy dragToData="1" caption="Revenue YOY %"/>
    <pivotHierarchy dragToData="1" caption="Net Profit YOY %"/>
    <pivotHierarchy dragToData="1" caption="EPS (₹)"/>
    <pivotHierarchy dragToData="1" caption="Share Price (₹)"/>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5188C-B2BA-4166-A0B4-F0D217D1BE1B}" name="PivotTable6" cacheId="9" applyNumberFormats="0" applyBorderFormats="0" applyFontFormats="0" applyPatternFormats="0" applyAlignmentFormats="0" applyWidthHeightFormats="1" dataCaption="Values" tag="5bb859db-b932-4c9b-9db2-ded732213c57" updatedVersion="8" minRefreshableVersion="3" useAutoFormatting="1" subtotalHiddenItems="1" rowGrandTotals="0" colGrandTotals="0" itemPrintTitles="1" createdVersion="8" indent="0" outline="1" outlineData="1" multipleFieldFilters="0" chartFormat="41">
  <location ref="A68:C78"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name="Revenue YOY %" fld="1" baseField="0" baseItem="1" numFmtId="10"/>
    <dataField name="Net Profit YOY %" fld="2" baseField="0" baseItem="1" numFmtId="1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39" format="5"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caption="Profit Conversion Ratio %"/>
    <pivotHierarchy dragToData="1" caption="Expense Ratio %"/>
    <pivotHierarchy dragToData="1" caption="Operating Profit"/>
    <pivotHierarchy dragToData="1" caption="Net profit"/>
    <pivotHierarchy dragToData="1" caption="Profit Margin"/>
    <pivotHierarchy dragToData="1" caption="OPM (%)"/>
    <pivotHierarchy dragToData="1" caption="Revenue YOY %"/>
    <pivotHierarchy dragToData="1" caption="Net Profit YOY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6E697-4627-4DC2-B6A2-D38769AA471F}" name="PivotTable4" cacheId="8" applyNumberFormats="0" applyBorderFormats="0" applyFontFormats="0" applyPatternFormats="0" applyAlignmentFormats="0" applyWidthHeightFormats="1" dataCaption="Values" tag="e9759bc3-1b40-46f1-9f7b-c3eda1ef13b6" updatedVersion="8" minRefreshableVersion="3" useAutoFormatting="1" subtotalHiddenItems="1" rowGrandTotals="0" colGrandTotals="0" itemPrintTitles="1" createdVersion="8" indent="0" outline="1" outlineData="1" multipleFieldFilters="0" chartFormat="36">
  <location ref="A51:B61"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name="Profit Conversion Ratio %" fld="1" baseField="0" baseItem="0" numFmtId="10"/>
  </dataFields>
  <chartFormats count="13">
    <chartFormat chart="1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0" count="1" selected="0">
            <x v="8"/>
          </reference>
        </references>
      </pivotArea>
    </chartFormat>
    <chartFormat chart="29" format="4">
      <pivotArea type="data" outline="0" fieldPosition="0">
        <references count="2">
          <reference field="4294967294" count="1" selected="0">
            <x v="0"/>
          </reference>
          <reference field="0" count="1" selected="0">
            <x v="3"/>
          </reference>
        </references>
      </pivotArea>
    </chartFormat>
    <chartFormat chart="29" format="5">
      <pivotArea type="data" outline="0" fieldPosition="0">
        <references count="2">
          <reference field="4294967294" count="1" selected="0">
            <x v="0"/>
          </reference>
          <reference field="0" count="1" selected="0">
            <x v="4"/>
          </reference>
        </references>
      </pivotArea>
    </chartFormat>
    <chartFormat chart="29" format="6">
      <pivotArea type="data" outline="0" fieldPosition="0">
        <references count="2">
          <reference field="4294967294" count="1" selected="0">
            <x v="0"/>
          </reference>
          <reference field="0" count="1" selected="0">
            <x v="1"/>
          </reference>
        </references>
      </pivotArea>
    </chartFormat>
    <chartFormat chart="29" format="7">
      <pivotArea type="data" outline="0" fieldPosition="0">
        <references count="2">
          <reference field="4294967294" count="1" selected="0">
            <x v="0"/>
          </reference>
          <reference field="0" count="1" selected="0">
            <x v="6"/>
          </reference>
        </references>
      </pivotArea>
    </chartFormat>
    <chartFormat chart="29" format="8">
      <pivotArea type="data" outline="0" fieldPosition="0">
        <references count="2">
          <reference field="4294967294" count="1" selected="0">
            <x v="0"/>
          </reference>
          <reference field="0" count="1" selected="0">
            <x v="0"/>
          </reference>
        </references>
      </pivotArea>
    </chartFormat>
    <chartFormat chart="29" format="9">
      <pivotArea type="data" outline="0" fieldPosition="0">
        <references count="2">
          <reference field="4294967294" count="1" selected="0">
            <x v="0"/>
          </reference>
          <reference field="0" count="1" selected="0">
            <x v="2"/>
          </reference>
        </references>
      </pivotArea>
    </chartFormat>
    <chartFormat chart="29" format="10">
      <pivotArea type="data" outline="0" fieldPosition="0">
        <references count="2">
          <reference field="4294967294" count="1" selected="0">
            <x v="0"/>
          </reference>
          <reference field="0" count="1" selected="0">
            <x v="5"/>
          </reference>
        </references>
      </pivotArea>
    </chartFormat>
    <chartFormat chart="29" format="11">
      <pivotArea type="data" outline="0" fieldPosition="0">
        <references count="2">
          <reference field="4294967294" count="1" selected="0">
            <x v="0"/>
          </reference>
          <reference field="0" count="1" selected="0">
            <x v="7"/>
          </reference>
        </references>
      </pivotArea>
    </chartFormat>
    <chartFormat chart="29" format="12">
      <pivotArea type="data" outline="0" fieldPosition="0">
        <references count="2">
          <reference field="4294967294" count="1" selected="0">
            <x v="0"/>
          </reference>
          <reference field="0" count="1" selected="0">
            <x v="9"/>
          </reference>
        </references>
      </pivotArea>
    </chartFormat>
    <chartFormat chart="35"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caption="Profit Conversion Ratio %"/>
    <pivotHierarchy dragToData="1" caption="Expense Ratio %"/>
    <pivotHierarchy dragToData="1" caption="Operating Profit"/>
    <pivotHierarchy dragToData="1" caption="Net profit"/>
    <pivotHierarchy dragToData="1" caption="Profit Margin"/>
    <pivotHierarchy dragToData="1" caption="OPM (%)"/>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41499D-66D3-4CDC-8B25-1C969C87F3F4}" name="PivotTable1" cacheId="5" applyNumberFormats="0" applyBorderFormats="0" applyFontFormats="0" applyPatternFormats="0" applyAlignmentFormats="0" applyWidthHeightFormats="1" dataCaption="Values" tag="050fcb91-3ee7-4ede-ac4b-c69c35335eae" updatedVersion="8" minRefreshableVersion="3" useAutoFormatting="1" subtotalHiddenItems="1" rowGrandTotals="0" itemPrintTitles="1" createdVersion="8" indent="0" outline="1" outlineData="1" multipleFieldFilters="0" chartFormat="30">
  <location ref="A3:C13"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name="Total Revenue" fld="1" baseField="0" baseItem="2"/>
    <dataField name="Net profit" fld="2" baseField="0" baseItem="2"/>
  </dataFields>
  <chartFormats count="4">
    <chartFormat chart="5"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 Expense Ratio %"/>
    <pivotHierarchy dragToData="1"/>
    <pivotHierarchy dragToData="1" caption="Net profit"/>
    <pivotHierarchy dragToData="1" caption="Profit Margin"/>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B405A-730D-4983-83D6-00FFB99B99FF}" name="PivotTable3" cacheId="7" applyNumberFormats="0" applyBorderFormats="0" applyFontFormats="0" applyPatternFormats="0" applyAlignmentFormats="0" applyWidthHeightFormats="1" dataCaption="Values" tag="29d2d3a9-bbd5-47b4-9171-baab715e6a08" updatedVersion="8" minRefreshableVersion="3" useAutoFormatting="1" subtotalHiddenItems="1" rowGrandTotals="0" colGrandTotals="0" itemPrintTitles="1" createdVersion="8" indent="0" outline="1" outlineData="1" multipleFieldFilters="0" chartFormat="35">
  <location ref="A35:C45"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name="OPM (%)" fld="1" baseField="0" baseItem="0" numFmtId="10"/>
    <dataField name="Expense Ratio %" fld="2" baseField="0" baseItem="0" numFmtId="10"/>
  </dataFields>
  <chartFormats count="5">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caption="Expense Ratio %"/>
    <pivotHierarchy dragToData="1" caption="Operating Profit"/>
    <pivotHierarchy dragToData="1" caption="Net profit"/>
    <pivotHierarchy dragToData="1" caption="Profit Margin"/>
    <pivotHierarchy dragToData="1" caption="OPM (%)"/>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68EE26-1736-434B-9069-0C5F594EEA2D}" name="PivotTable2" cacheId="6" applyNumberFormats="0" applyBorderFormats="0" applyFontFormats="0" applyPatternFormats="0" applyAlignmentFormats="0" applyWidthHeightFormats="1" dataCaption="Values" tag="7982aedb-857d-4acd-a1ff-f3689b145bca" updatedVersion="8" minRefreshableVersion="3" useAutoFormatting="1" subtotalHiddenItems="1" rowGrandTotals="0" itemPrintTitles="1" createdVersion="8" indent="0" outline="1" outlineData="1" multipleFieldFilters="0" chartFormat="24">
  <location ref="A20:B30"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name="OPM (%)" fld="1" baseField="0" baseItem="0" numFmtId="10"/>
  </dataFields>
  <chartFormats count="1">
    <chartFormat chart="7" format="0"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caption="Expense Ratio %"/>
    <pivotHierarchy dragToData="1" caption="Operating Profit"/>
    <pivotHierarchy dragToData="1" caption="Net profit"/>
    <pivotHierarchy dragToData="1" caption="Profit Margin"/>
    <pivotHierarchy dragToData="1" caption="OPM (%)"/>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E5B7EA-4DE1-4342-B3AF-4BADE9B6FFD3}" name="PivotTable8" cacheId="11" applyNumberFormats="0" applyBorderFormats="0" applyFontFormats="0" applyPatternFormats="0" applyAlignmentFormats="0" applyWidthHeightFormats="1" dataCaption="Values" tag="a11f4660-0a73-45a2-852d-9b65547a33f6" updatedVersion="8" minRefreshableVersion="3" useAutoFormatting="1" subtotalHiddenItems="1" rowGrandTotals="0" colGrandTotals="0" itemPrintTitles="1" createdVersion="8" indent="0" outline="1" outlineData="1" multipleFieldFilters="0" chartFormat="53">
  <location ref="A99:C109"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name="P/E Ratio" fld="1" baseField="0" baseItem="0"/>
    <dataField name="EPS (₹)" fld="2" baseField="0" baseItem="0"/>
  </dataFields>
  <chartFormats count="5">
    <chartFormat chart="31"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50" format="4"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1"/>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caption="Profit Conversion Ratio %"/>
    <pivotHierarchy dragToData="1" caption="Expense Ratio %"/>
    <pivotHierarchy dragToData="1" caption="Operating Profit"/>
    <pivotHierarchy dragToData="1" caption="Net profit"/>
    <pivotHierarchy dragToData="1" caption="Profit Margin"/>
    <pivotHierarchy dragToData="1" caption="OPM (%)"/>
    <pivotHierarchy dragToData="1" caption="Revenue YOY %"/>
    <pivotHierarchy dragToData="1" caption="Net Profit YOY %"/>
    <pivotHierarchy dragToData="1" caption="EPS (₹)"/>
    <pivotHierarchy dragToData="1" caption="Share Price (₹)"/>
    <pivotHierarchy dragToData="1" caption="P/E Rati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0E4529-9A0B-477B-9659-FD44D265F928}" name="PivotTable3" cacheId="1" applyNumberFormats="0" applyBorderFormats="0" applyFontFormats="0" applyPatternFormats="0" applyAlignmentFormats="0" applyWidthHeightFormats="1" dataCaption="Values" tag="972c7af6-238e-4ee4-af4b-bd0e20901a1d"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8">
      <pivotArea dataOnly="0" labelOnly="1" outline="0" axis="axisValues"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DDB224-FE2B-4249-96B3-D971D7E46005}" name="PivotTable1" cacheId="0" applyNumberFormats="0" applyBorderFormats="0" applyFontFormats="0" applyPatternFormats="0" applyAlignmentFormats="0" applyWidthHeightFormats="1" dataCaption="Values" tag="161cfa5e-1920-44f7-a2fd-c7c99e201292"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17">
      <pivotArea dataOnly="0" labelOnly="1" outline="0" axis="axisValues"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 dxfId="9">
      <pivotArea outline="0" collapsedLevelsAreSubtotals="1" fieldPosition="0"/>
    </format>
  </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C327AC-BAF6-486D-8A08-DE4A04A5ADFA}" name="PivotTable6" cacheId="4" applyNumberFormats="0" applyBorderFormats="0" applyFontFormats="0" applyPatternFormats="0" applyAlignmentFormats="0" applyWidthHeightFormats="1" dataCaption="Values" tag="21e27f5c-ba40-48ab-b946-2ec23fdc73b5"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xpense Ratio %" fld="0" subtotal="count" baseField="0" baseItem="0"/>
  </dataFields>
  <formats count="7">
    <format dxfId="24">
      <pivotArea dataOnly="0" labelOnly="1" outline="0" axis="axisValues"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xpense Ratio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00B41F-F520-47A9-90D0-7E12CB2925EE}" name="PivotTable5" cacheId="3" applyNumberFormats="0" applyBorderFormats="0" applyFontFormats="0" applyPatternFormats="0" applyAlignmentFormats="0" applyWidthHeightFormats="1" dataCaption="Values" tag="fd472fab-ff12-4760-bd58-e49436e2c35b"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32">
      <pivotArea dataOnly="0" labelOnly="1" outline="0" axis="axisValues"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outline="0" collapsedLevelsAreSubtotals="1" fieldPosition="0"/>
    </format>
  </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FBB9ABD2-0A49-48C6-A63F-31B8AD65A270}">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DECF9A-904F-4AAE-AB32-B063EDD05C99}" name="PivotTable4" cacheId="2" applyNumberFormats="0" applyBorderFormats="0" applyFontFormats="0" applyPatternFormats="0" applyAlignmentFormats="0" applyWidthHeightFormats="1" dataCaption="Values" tag="f99069b7-33b4-4909-80c0-a63e1278e4b0"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40">
      <pivotArea dataOnly="0" labelOnly="1" outline="0" axis="axisValues"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dataOnly="0" labelOnly="1" outline="0" axis="axisValues" fieldPosition="0"/>
    </format>
    <format dxfId="33">
      <pivotArea outline="0" collapsedLevelsAreSubtotals="1" fieldPosition="0"/>
    </format>
  </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3" id="{0ACB1E7E-0189-4CE9-A1CD-A3E119C22019}">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sourceDataName="WorksheetConnection_Reliance Industr (1) (1).xlsx!Financial">
        <x15:activeTabTopLevelEntity name="[Financia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1FD45BCD-2F93-45BC-9006-574DFF422343}" sourceName="[Financial].[Financial Year]">
  <pivotTables>
    <pivotTable tabId="9" name="PivotTable1"/>
    <pivotTable tabId="9" name="PivotTable3"/>
    <pivotTable tabId="9" name="PivotTable4"/>
    <pivotTable tabId="9" name="PivotTable5"/>
    <pivotTable tabId="9" name="PivotTable6"/>
    <pivotTable tabId="7" name="PivotTable1"/>
    <pivotTable tabId="7" name="PivotTable2"/>
    <pivotTable tabId="7" name="PivotTable3"/>
    <pivotTable tabId="7" name="PivotTable4"/>
    <pivotTable tabId="7" name="PivotTable6"/>
    <pivotTable tabId="7" name="PivotTable7"/>
    <pivotTable tabId="7" name="PivotTable8"/>
  </pivotTables>
  <data>
    <olap pivotCacheId="475873358">
      <levels count="2">
        <level uniqueName="[Financial].[Financial Year].[(All)]" sourceCaption="(All)" count="0"/>
        <level uniqueName="[Financial].[Financial Year].[Financial Year]" sourceCaption="Financial Year" count="10">
          <ranges>
            <range startItem="0">
              <i n="[Financial].[Financial Year].&amp;[FY16]" c="FY16"/>
              <i n="[Financial].[Financial Year].&amp;[FY17]" c="FY17"/>
              <i n="[Financial].[Financial Year].&amp;[FY18]" c="FY18"/>
              <i n="[Financial].[Financial Year].&amp;[FY19]" c="FY19"/>
              <i n="[Financial].[Financial Year].&amp;[FY20]" c="FY20"/>
              <i n="[Financial].[Financial Year].&amp;[FY21]" c="FY21"/>
              <i n="[Financial].[Financial Year].&amp;[FY22]" c="FY22"/>
              <i n="[Financial].[Financial Year].&amp;[FY23]" c="FY23"/>
              <i n="[Financial].[Financial Year].&amp;[FY24]" c="FY24"/>
              <i n="[Financial].[Financial Year].&amp;[FY25]" c="FY25"/>
            </range>
          </ranges>
        </level>
      </levels>
      <selections count="1">
        <selection n="[Financial].[Financial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BCA5DC38-3D57-45C1-97C2-507409953EFF}" cache="Slicer_Financial_Year" caption="Financial Yea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C08893-D65F-4228-B3E6-33F974D828AD}" name="Financial" displayName="Financial" ref="M4:AG14" totalsRowShown="0" headerRowDxfId="65" headerRowBorderDxfId="64" tableBorderDxfId="63" totalsRowBorderDxfId="62">
  <autoFilter ref="M4:AG14" xr:uid="{CAC08893-D65F-4228-B3E6-33F974D828AD}"/>
  <tableColumns count="21">
    <tableColumn id="1" xr3:uid="{6F9342B6-F495-4210-99B4-2E49C2BEB3AF}" name="Financial Year" dataDxfId="61"/>
    <tableColumn id="2" xr3:uid="{DBB535F0-4777-4822-9CF9-98C96138B8ED}" name="Revenue" dataDxfId="60"/>
    <tableColumn id="3" xr3:uid="{A270EA6A-69AD-4C2B-8726-A4417BC57707}" name="Expenses" dataDxfId="59"/>
    <tableColumn id="4" xr3:uid="{04434CB1-7AC7-4115-8DA5-51DCD7B953D5}" name="Operating Profit" dataDxfId="58"/>
    <tableColumn id="5" xr3:uid="{F0F94AD1-5D36-4714-B26C-CD4B39E1DC85}" name="Other Income" dataDxfId="57"/>
    <tableColumn id="6" xr3:uid="{F907D0C5-2FFF-4C98-AC52-E8453E7AA05B}" name="Depreciation" dataDxfId="56"/>
    <tableColumn id="7" xr3:uid="{7C70C894-4205-4A89-99CB-E49CB553680C}" name="Interest" dataDxfId="55"/>
    <tableColumn id="8" xr3:uid="{ECF8AABC-1F49-431D-90D7-208D7A60ADB4}" name="Profit before tax" dataDxfId="54"/>
    <tableColumn id="9" xr3:uid="{D2ECF07F-3A7D-4737-888C-5C1A955CD56E}" name="Tax" dataDxfId="53"/>
    <tableColumn id="10" xr3:uid="{FC8F0E76-FE1E-441F-8AB5-36E2957C4F81}" name="Net profit" dataDxfId="52">
      <calculatedColumnFormula>Financial[[#This Row],[Profit before tax]]-Financial[[#This Row],[Tax]]</calculatedColumnFormula>
    </tableColumn>
    <tableColumn id="11" xr3:uid="{609F96E4-2779-4E35-8262-55B4FC095710}" name="EPS (₹)" dataDxfId="51"/>
    <tableColumn id="12" xr3:uid="{BBDD544B-CED0-4457-919A-D00915D77626}" name="P/E Ratio" dataDxfId="50"/>
    <tableColumn id="13" xr3:uid="{76C5F77B-1E8B-45BE-82F3-82B4C43C0AF5}" name="Share Price (₹)" dataDxfId="49"/>
    <tableColumn id="21" xr3:uid="{B1BFC9BB-B977-4243-8BE5-3B940759E062}" name="Profit Margin" dataDxfId="48" dataCellStyle="Percent">
      <calculatedColumnFormula>Financial[[#This Row],[Net profit]]/Financial[[#This Row],[Revenue]]</calculatedColumnFormula>
    </tableColumn>
    <tableColumn id="14" xr3:uid="{3E77D171-1E1F-4442-8133-D6325D8AE887}" name="Dividend Payout" dataDxfId="47"/>
    <tableColumn id="15" xr3:uid="{D1E2CCD4-3A2A-42D7-80A6-443728E82CCB}" name="OPM (%)" dataDxfId="46"/>
    <tableColumn id="16" xr3:uid="{DE2E36F2-C7A1-478B-B3CA-468453A783DC}" name="YOY Revenue growth %" dataDxfId="45">
      <calculatedColumnFormula>(N5-N4)/N4</calculatedColumnFormula>
    </tableColumn>
    <tableColumn id="17" xr3:uid="{FBEA2E6C-A98D-4612-99F1-D8A1C9D15A6A}" name="YoY Net Profit Growth %" dataDxfId="44" dataCellStyle="Percent">
      <calculatedColumnFormula>(V5-V4)/V4</calculatedColumnFormula>
    </tableColumn>
    <tableColumn id="18" xr3:uid="{40D2BE96-13D1-429F-AE51-A584DAAC1576}" name="Effective tax %" dataDxfId="43" dataCellStyle="Percent">
      <calculatedColumnFormula>U5/T5</calculatedColumnFormula>
    </tableColumn>
    <tableColumn id="19" xr3:uid="{8144382D-C8D8-4F2C-BCD4-57965C571AB5}" name="Expense Ratio %" dataDxfId="42" dataCellStyle="Percent">
      <calculatedColumnFormula>O5/N5</calculatedColumnFormula>
    </tableColumn>
    <tableColumn id="20" xr3:uid="{E8FCCCDC-210A-4063-8F51-B3712D9EAAA1}" name="Profit Conversion Ratio" dataDxfId="41" dataCellStyle="Percent">
      <calculatedColumnFormula>V5/P5</calculatedColumnFormula>
    </tableColumn>
  </tableColumns>
  <tableStyleInfo name="TableStyleMedium1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4.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56"/>
  <sheetViews>
    <sheetView topLeftCell="T3" zoomScale="90" zoomScaleNormal="90" zoomScaleSheetLayoutView="100" zoomScalePageLayoutView="120" workbookViewId="0">
      <selection activeCell="W16" sqref="W16"/>
    </sheetView>
  </sheetViews>
  <sheetFormatPr defaultColWidth="8.85546875" defaultRowHeight="15" x14ac:dyDescent="0.25"/>
  <cols>
    <col min="1" max="1" width="15.7109375" bestFit="1" customWidth="1"/>
    <col min="2" max="11" width="11.85546875" bestFit="1" customWidth="1"/>
    <col min="12" max="12" width="9.42578125" bestFit="1" customWidth="1"/>
    <col min="13" max="13" width="14.85546875" customWidth="1"/>
    <col min="14" max="14" width="10.85546875" customWidth="1"/>
    <col min="15" max="15" width="11.140625" customWidth="1"/>
    <col min="16" max="16" width="17.28515625" customWidth="1"/>
    <col min="17" max="17" width="15.28515625" customWidth="1"/>
    <col min="18" max="18" width="16.5703125" customWidth="1"/>
    <col min="19" max="19" width="11.7109375" customWidth="1"/>
    <col min="20" max="20" width="19.85546875" customWidth="1"/>
    <col min="21" max="21" width="8.5703125" customWidth="1"/>
    <col min="22" max="22" width="11.85546875" customWidth="1"/>
    <col min="23" max="24" width="12.85546875" bestFit="1" customWidth="1"/>
    <col min="25" max="25" width="15.7109375" customWidth="1"/>
    <col min="26" max="26" width="17.5703125" customWidth="1"/>
    <col min="27" max="27" width="16.5703125" customWidth="1"/>
    <col min="28" max="28" width="23.7109375" customWidth="1"/>
    <col min="29" max="29" width="24.7109375" customWidth="1"/>
    <col min="30" max="30" width="15.7109375" customWidth="1"/>
    <col min="31" max="31" width="17.140625" customWidth="1"/>
    <col min="32" max="32" width="23.140625" customWidth="1"/>
    <col min="33" max="33" width="17.42578125" customWidth="1"/>
  </cols>
  <sheetData>
    <row r="1" spans="1:33" s="2" customFormat="1" x14ac:dyDescent="0.25">
      <c r="A1" s="2" t="str">
        <f>'Data Sheet'!B1</f>
        <v>RELIANCE INDUSTRIES LTD</v>
      </c>
      <c r="H1" t="str">
        <f>UPDATE</f>
        <v/>
      </c>
      <c r="J1" s="3"/>
      <c r="K1" s="3"/>
    </row>
    <row r="2" spans="1:33" s="2" customFormat="1" ht="15.75" thickBot="1" x14ac:dyDescent="0.3">
      <c r="H2"/>
      <c r="J2" s="3"/>
      <c r="K2" s="3"/>
    </row>
    <row r="3" spans="1:33" ht="15.75" thickBot="1" x14ac:dyDescent="0.3"/>
    <row r="4" spans="1:33" s="2" customFormat="1" ht="30" x14ac:dyDescent="0.25">
      <c r="A4" s="20" t="s">
        <v>64</v>
      </c>
      <c r="B4" s="21" t="s">
        <v>65</v>
      </c>
      <c r="C4" s="21" t="s">
        <v>66</v>
      </c>
      <c r="D4" s="21" t="s">
        <v>67</v>
      </c>
      <c r="E4" s="21" t="s">
        <v>68</v>
      </c>
      <c r="F4" s="21" t="s">
        <v>69</v>
      </c>
      <c r="G4" s="21" t="s">
        <v>70</v>
      </c>
      <c r="H4" s="21" t="s">
        <v>71</v>
      </c>
      <c r="I4" s="21" t="s">
        <v>72</v>
      </c>
      <c r="J4" s="21" t="s">
        <v>73</v>
      </c>
      <c r="K4" s="22" t="s">
        <v>74</v>
      </c>
      <c r="M4" s="26" t="s">
        <v>75</v>
      </c>
      <c r="N4" s="27" t="s">
        <v>76</v>
      </c>
      <c r="O4" s="27" t="s">
        <v>1</v>
      </c>
      <c r="P4" s="27" t="s">
        <v>2</v>
      </c>
      <c r="Q4" s="27" t="s">
        <v>3</v>
      </c>
      <c r="R4" s="27" t="s">
        <v>4</v>
      </c>
      <c r="S4" s="27" t="s">
        <v>5</v>
      </c>
      <c r="T4" s="27" t="s">
        <v>6</v>
      </c>
      <c r="U4" s="27" t="s">
        <v>7</v>
      </c>
      <c r="V4" s="27" t="s">
        <v>8</v>
      </c>
      <c r="W4" s="27" t="s">
        <v>63</v>
      </c>
      <c r="X4" s="27" t="s">
        <v>60</v>
      </c>
      <c r="Y4" s="27" t="s">
        <v>62</v>
      </c>
      <c r="Z4" s="27" t="s">
        <v>83</v>
      </c>
      <c r="AA4" s="27" t="s">
        <v>9</v>
      </c>
      <c r="AB4" s="27" t="s">
        <v>61</v>
      </c>
      <c r="AC4" s="39" t="s">
        <v>77</v>
      </c>
      <c r="AD4" s="39" t="s">
        <v>78</v>
      </c>
      <c r="AE4" s="39" t="s">
        <v>79</v>
      </c>
      <c r="AF4" s="39" t="s">
        <v>80</v>
      </c>
      <c r="AG4" s="40" t="s">
        <v>81</v>
      </c>
    </row>
    <row r="5" spans="1:33" s="2" customFormat="1" x14ac:dyDescent="0.25">
      <c r="A5" s="15" t="s">
        <v>0</v>
      </c>
      <c r="B5" s="11">
        <v>231743</v>
      </c>
      <c r="C5" s="11">
        <v>240597</v>
      </c>
      <c r="D5" s="11">
        <v>289188</v>
      </c>
      <c r="E5" s="11">
        <v>370744</v>
      </c>
      <c r="F5" s="11">
        <v>336097</v>
      </c>
      <c r="G5" s="11">
        <v>245050</v>
      </c>
      <c r="H5" s="11">
        <v>422413</v>
      </c>
      <c r="I5" s="11">
        <v>537909</v>
      </c>
      <c r="J5" s="11">
        <v>531908</v>
      </c>
      <c r="K5" s="17">
        <v>515425</v>
      </c>
      <c r="M5" s="37" t="s">
        <v>65</v>
      </c>
      <c r="N5" s="28">
        <v>231743</v>
      </c>
      <c r="O5" s="28">
        <v>192359</v>
      </c>
      <c r="P5" s="28">
        <v>39384</v>
      </c>
      <c r="Q5" s="28">
        <v>7784</v>
      </c>
      <c r="R5" s="28">
        <v>8590</v>
      </c>
      <c r="S5" s="28">
        <v>2562</v>
      </c>
      <c r="T5" s="28">
        <v>36016</v>
      </c>
      <c r="U5" s="28">
        <v>8632</v>
      </c>
      <c r="V5" s="28">
        <f>Financial[[#This Row],[Profit before tax]]-Financial[[#This Row],[Tax]]</f>
        <v>27384</v>
      </c>
      <c r="W5" s="28">
        <v>19.806448813088576</v>
      </c>
      <c r="X5" s="28">
        <v>11.989024496056091</v>
      </c>
      <c r="Y5" s="28">
        <v>237.46</v>
      </c>
      <c r="Z5" s="51">
        <f>Financial[[#This Row],[Net profit]]/Financial[[#This Row],[Revenue]]</f>
        <v>0.11816538147862071</v>
      </c>
      <c r="AA5" s="29">
        <v>0.12423312883435583</v>
      </c>
      <c r="AB5" s="29">
        <v>0.1699468808119339</v>
      </c>
      <c r="AC5" s="30">
        <f>IFERROR((N5-N4)/N4,0)</f>
        <v>0</v>
      </c>
      <c r="AD5" s="31">
        <f>IFERROR((V5-V4)/V4,0)</f>
        <v>0</v>
      </c>
      <c r="AE5" s="31">
        <f>U5/T5</f>
        <v>0.23967125721901378</v>
      </c>
      <c r="AF5" s="53">
        <f>O5/N5</f>
        <v>0.83005311918806612</v>
      </c>
      <c r="AG5" s="46">
        <f>V5/P5</f>
        <v>0.6953077391834247</v>
      </c>
    </row>
    <row r="6" spans="1:33" x14ac:dyDescent="0.25">
      <c r="A6" s="16" t="s">
        <v>1</v>
      </c>
      <c r="B6" s="12">
        <v>192359</v>
      </c>
      <c r="C6" s="12">
        <v>197272</v>
      </c>
      <c r="D6" s="12">
        <v>237430</v>
      </c>
      <c r="E6" s="12">
        <v>311853</v>
      </c>
      <c r="F6" s="12">
        <v>283073</v>
      </c>
      <c r="G6" s="12">
        <v>211542</v>
      </c>
      <c r="H6" s="12">
        <v>370007</v>
      </c>
      <c r="I6" s="12">
        <v>471050</v>
      </c>
      <c r="J6" s="12">
        <v>457488</v>
      </c>
      <c r="K6" s="18">
        <v>457292</v>
      </c>
      <c r="M6" s="38" t="s">
        <v>66</v>
      </c>
      <c r="N6" s="32">
        <v>240597</v>
      </c>
      <c r="O6" s="32">
        <v>197272</v>
      </c>
      <c r="P6" s="32">
        <v>43325</v>
      </c>
      <c r="Q6" s="32">
        <v>8640</v>
      </c>
      <c r="R6" s="32">
        <v>8465</v>
      </c>
      <c r="S6" s="32">
        <v>2723</v>
      </c>
      <c r="T6" s="32">
        <v>40777</v>
      </c>
      <c r="U6" s="32">
        <v>9352</v>
      </c>
      <c r="V6" s="28">
        <f>Financial[[#This Row],[Profit before tax]]-Financial[[#This Row],[Tax]]</f>
        <v>31425</v>
      </c>
      <c r="W6" s="32">
        <v>22.653220109283314</v>
      </c>
      <c r="X6" s="32">
        <v>13.247123303102624</v>
      </c>
      <c r="Y6" s="32">
        <v>300.08999999999997</v>
      </c>
      <c r="Z6" s="50">
        <f>Financial[[#This Row],[Net profit]]/Financial[[#This Row],[Revenue]]</f>
        <v>0.13061260115462786</v>
      </c>
      <c r="AA6" s="33">
        <v>0.11379793158313445</v>
      </c>
      <c r="AB6" s="33">
        <v>0.18007290198963413</v>
      </c>
      <c r="AC6" s="34">
        <f t="shared" ref="AC6:AC14" si="0">(N6-N5)/N5</f>
        <v>3.8206116258096251E-2</v>
      </c>
      <c r="AD6" s="35">
        <f t="shared" ref="AD6:AD14" si="1">(V6-V5)/V5</f>
        <v>0.14756792287467135</v>
      </c>
      <c r="AE6" s="35">
        <f t="shared" ref="AE6:AE14" si="2">U6/T6</f>
        <v>0.22934497388233563</v>
      </c>
      <c r="AF6" s="53">
        <f t="shared" ref="AF6:AF14" si="3">O6/N6</f>
        <v>0.8199270980103659</v>
      </c>
      <c r="AG6" s="46">
        <f t="shared" ref="AG6:AG14" si="4">V6/P6</f>
        <v>0.72533179457587993</v>
      </c>
    </row>
    <row r="7" spans="1:33" s="2" customFormat="1" x14ac:dyDescent="0.25">
      <c r="A7" s="15" t="s">
        <v>2</v>
      </c>
      <c r="B7" s="11">
        <v>39384</v>
      </c>
      <c r="C7" s="11">
        <v>43325</v>
      </c>
      <c r="D7" s="11">
        <v>51758</v>
      </c>
      <c r="E7" s="11">
        <v>58891</v>
      </c>
      <c r="F7" s="11">
        <v>53024</v>
      </c>
      <c r="G7" s="11">
        <v>33508</v>
      </c>
      <c r="H7" s="11">
        <v>52406</v>
      </c>
      <c r="I7" s="11">
        <v>66859</v>
      </c>
      <c r="J7" s="11">
        <v>74420</v>
      </c>
      <c r="K7" s="17">
        <v>58133</v>
      </c>
      <c r="M7" s="37" t="s">
        <v>67</v>
      </c>
      <c r="N7" s="28">
        <v>289188</v>
      </c>
      <c r="O7" s="28">
        <v>237430</v>
      </c>
      <c r="P7" s="28">
        <v>51758</v>
      </c>
      <c r="Q7" s="28">
        <v>8203</v>
      </c>
      <c r="R7" s="28">
        <v>9580</v>
      </c>
      <c r="S7" s="28">
        <v>4656</v>
      </c>
      <c r="T7" s="28">
        <v>45725</v>
      </c>
      <c r="U7" s="28">
        <v>12113</v>
      </c>
      <c r="V7" s="28">
        <f>Financial[[#This Row],[Profit before tax]]-Financial[[#This Row],[Tax]]</f>
        <v>33612</v>
      </c>
      <c r="W7" s="28">
        <v>24.872168655976438</v>
      </c>
      <c r="X7" s="28">
        <v>16.125654563846247</v>
      </c>
      <c r="Y7" s="28">
        <v>401.08</v>
      </c>
      <c r="Z7" s="51">
        <f>Financial[[#This Row],[Net profit]]/Financial[[#This Row],[Revenue]]</f>
        <v>0.11622888916552554</v>
      </c>
      <c r="AA7" s="29">
        <v>0.11308461263834345</v>
      </c>
      <c r="AB7" s="29">
        <v>0.17897699766242028</v>
      </c>
      <c r="AC7" s="36">
        <f t="shared" si="0"/>
        <v>0.2019601241910747</v>
      </c>
      <c r="AD7" s="31">
        <f t="shared" si="1"/>
        <v>6.959427207637231E-2</v>
      </c>
      <c r="AE7" s="31">
        <f t="shared" si="2"/>
        <v>0.26490978676872606</v>
      </c>
      <c r="AF7" s="53">
        <f t="shared" si="3"/>
        <v>0.82102300233757974</v>
      </c>
      <c r="AG7" s="46">
        <f t="shared" si="4"/>
        <v>0.64940685497894046</v>
      </c>
    </row>
    <row r="8" spans="1:33" x14ac:dyDescent="0.25">
      <c r="A8" s="16" t="s">
        <v>3</v>
      </c>
      <c r="B8" s="12">
        <v>7784</v>
      </c>
      <c r="C8" s="12">
        <v>8640</v>
      </c>
      <c r="D8" s="12">
        <v>8203</v>
      </c>
      <c r="E8" s="12">
        <v>8785</v>
      </c>
      <c r="F8" s="12">
        <v>9125</v>
      </c>
      <c r="G8" s="12">
        <v>19114</v>
      </c>
      <c r="H8" s="12">
        <v>13779</v>
      </c>
      <c r="I8" s="12">
        <v>12247</v>
      </c>
      <c r="J8" s="12">
        <v>11973</v>
      </c>
      <c r="K8" s="18">
        <v>16030</v>
      </c>
      <c r="M8" s="38" t="s">
        <v>68</v>
      </c>
      <c r="N8" s="32">
        <v>370744</v>
      </c>
      <c r="O8" s="32">
        <v>311853</v>
      </c>
      <c r="P8" s="32">
        <v>58891</v>
      </c>
      <c r="Q8" s="32">
        <v>8785</v>
      </c>
      <c r="R8" s="32">
        <v>10558</v>
      </c>
      <c r="S8" s="32">
        <v>9751</v>
      </c>
      <c r="T8" s="32">
        <v>47367</v>
      </c>
      <c r="U8" s="32">
        <v>12204</v>
      </c>
      <c r="V8" s="28">
        <f>Financial[[#This Row],[Profit before tax]]-Financial[[#This Row],[Tax]]</f>
        <v>35163</v>
      </c>
      <c r="W8" s="32">
        <v>26.003135491695385</v>
      </c>
      <c r="X8" s="32">
        <v>23.821358012683785</v>
      </c>
      <c r="Y8" s="32">
        <v>619.42999999999995</v>
      </c>
      <c r="Z8" s="50">
        <f>Financial[[#This Row],[Net profit]]/Financial[[#This Row],[Revenue]]</f>
        <v>9.4844420948147504E-2</v>
      </c>
      <c r="AA8" s="33">
        <v>0.11717856838153742</v>
      </c>
      <c r="AB8" s="33">
        <v>0.15884545670327774</v>
      </c>
      <c r="AC8" s="34">
        <f t="shared" si="0"/>
        <v>0.28201723446339405</v>
      </c>
      <c r="AD8" s="35">
        <f t="shared" si="1"/>
        <v>4.6144234202070686E-2</v>
      </c>
      <c r="AE8" s="35">
        <f t="shared" si="2"/>
        <v>0.25764772943188297</v>
      </c>
      <c r="AF8" s="53">
        <f t="shared" si="3"/>
        <v>0.84115454329672223</v>
      </c>
      <c r="AG8" s="46">
        <f t="shared" si="4"/>
        <v>0.59708614219490241</v>
      </c>
    </row>
    <row r="9" spans="1:33" x14ac:dyDescent="0.25">
      <c r="A9" s="16" t="s">
        <v>4</v>
      </c>
      <c r="B9" s="12">
        <v>8590</v>
      </c>
      <c r="C9" s="12">
        <v>8465</v>
      </c>
      <c r="D9" s="12">
        <v>9580</v>
      </c>
      <c r="E9" s="12">
        <v>10558</v>
      </c>
      <c r="F9" s="12">
        <v>9728</v>
      </c>
      <c r="G9" s="12">
        <v>9199</v>
      </c>
      <c r="H9" s="12">
        <v>10276</v>
      </c>
      <c r="I9" s="12">
        <v>11167</v>
      </c>
      <c r="J9" s="12">
        <v>17690</v>
      </c>
      <c r="K9" s="18">
        <v>17981</v>
      </c>
      <c r="M9" s="37" t="s">
        <v>69</v>
      </c>
      <c r="N9" s="28">
        <v>336097</v>
      </c>
      <c r="O9" s="28">
        <v>283073</v>
      </c>
      <c r="P9" s="28">
        <v>53024</v>
      </c>
      <c r="Q9" s="28">
        <v>9125</v>
      </c>
      <c r="R9" s="28">
        <v>9728</v>
      </c>
      <c r="S9" s="28">
        <v>12105</v>
      </c>
      <c r="T9" s="28">
        <v>40316</v>
      </c>
      <c r="U9" s="28">
        <v>9413</v>
      </c>
      <c r="V9" s="28">
        <f>Financial[[#This Row],[Profit before tax]]-Financial[[#This Row],[Tax]]</f>
        <v>30903</v>
      </c>
      <c r="W9" s="28">
        <v>22.850994920029283</v>
      </c>
      <c r="X9" s="28">
        <v>22.146081681390154</v>
      </c>
      <c r="Y9" s="28">
        <v>506.06</v>
      </c>
      <c r="Z9" s="51">
        <f>Financial[[#This Row],[Net profit]]/Financial[[#This Row],[Revenue]]</f>
        <v>9.1946670157722329E-2</v>
      </c>
      <c r="AA9" s="29">
        <v>0.13333171536744007</v>
      </c>
      <c r="AB9" s="29">
        <v>0.15776397885134352</v>
      </c>
      <c r="AC9" s="36">
        <f t="shared" si="0"/>
        <v>-9.3452624991908165E-2</v>
      </c>
      <c r="AD9" s="31">
        <f t="shared" si="1"/>
        <v>-0.12115007251940961</v>
      </c>
      <c r="AE9" s="31">
        <f t="shared" si="2"/>
        <v>0.23348050401825579</v>
      </c>
      <c r="AF9" s="53">
        <f t="shared" si="3"/>
        <v>0.84223602114865648</v>
      </c>
      <c r="AG9" s="46">
        <f t="shared" si="4"/>
        <v>0.58281155703077847</v>
      </c>
    </row>
    <row r="10" spans="1:33" x14ac:dyDescent="0.25">
      <c r="A10" s="16" t="s">
        <v>5</v>
      </c>
      <c r="B10" s="12">
        <v>2562</v>
      </c>
      <c r="C10" s="12">
        <v>2723</v>
      </c>
      <c r="D10" s="12">
        <v>4656</v>
      </c>
      <c r="E10" s="12">
        <v>9751</v>
      </c>
      <c r="F10" s="12">
        <v>12105</v>
      </c>
      <c r="G10" s="12">
        <v>16211</v>
      </c>
      <c r="H10" s="12">
        <v>9123</v>
      </c>
      <c r="I10" s="12">
        <v>12633</v>
      </c>
      <c r="J10" s="12">
        <v>13430</v>
      </c>
      <c r="K10" s="18">
        <v>10054</v>
      </c>
      <c r="M10" s="38" t="s">
        <v>70</v>
      </c>
      <c r="N10" s="32">
        <v>245050</v>
      </c>
      <c r="O10" s="32">
        <v>211542</v>
      </c>
      <c r="P10" s="32">
        <v>33508</v>
      </c>
      <c r="Q10" s="32">
        <v>19114</v>
      </c>
      <c r="R10" s="32">
        <v>9199</v>
      </c>
      <c r="S10" s="32">
        <v>16211</v>
      </c>
      <c r="T10" s="32">
        <v>27212</v>
      </c>
      <c r="U10" s="32">
        <v>4732</v>
      </c>
      <c r="V10" s="28">
        <f>Financial[[#This Row],[Profit before tax]]-Financial[[#This Row],[Tax]]</f>
        <v>22480</v>
      </c>
      <c r="W10" s="32">
        <v>25.194614674774623</v>
      </c>
      <c r="X10" s="32">
        <v>36.467316998497374</v>
      </c>
      <c r="Y10" s="32">
        <v>918.78</v>
      </c>
      <c r="Z10" s="50">
        <f>Financial[[#This Row],[Net profit]]/Financial[[#This Row],[Revenue]]</f>
        <v>9.1736380330544792E-2</v>
      </c>
      <c r="AA10" s="33">
        <v>0.14123153017781118</v>
      </c>
      <c r="AB10" s="33">
        <v>0.13673944093042237</v>
      </c>
      <c r="AC10" s="34">
        <f t="shared" si="0"/>
        <v>-0.27089500947643091</v>
      </c>
      <c r="AD10" s="35">
        <f t="shared" si="1"/>
        <v>-0.27256253438177525</v>
      </c>
      <c r="AE10" s="35">
        <f t="shared" si="2"/>
        <v>0.17389387035131559</v>
      </c>
      <c r="AF10" s="53">
        <f t="shared" si="3"/>
        <v>0.86326055906957766</v>
      </c>
      <c r="AG10" s="46">
        <f t="shared" si="4"/>
        <v>0.67088456488002868</v>
      </c>
    </row>
    <row r="11" spans="1:33" x14ac:dyDescent="0.25">
      <c r="A11" s="16" t="s">
        <v>6</v>
      </c>
      <c r="B11" s="12">
        <v>36016</v>
      </c>
      <c r="C11" s="12">
        <v>40777</v>
      </c>
      <c r="D11" s="12">
        <v>45725</v>
      </c>
      <c r="E11" s="12">
        <v>47367</v>
      </c>
      <c r="F11" s="12">
        <v>40316</v>
      </c>
      <c r="G11" s="12">
        <v>27212</v>
      </c>
      <c r="H11" s="12">
        <v>46786</v>
      </c>
      <c r="I11" s="12">
        <v>55306</v>
      </c>
      <c r="J11" s="12">
        <v>55273</v>
      </c>
      <c r="K11" s="18">
        <v>46128</v>
      </c>
      <c r="M11" s="37" t="s">
        <v>71</v>
      </c>
      <c r="N11" s="28">
        <v>422413</v>
      </c>
      <c r="O11" s="28">
        <v>370007</v>
      </c>
      <c r="P11" s="28">
        <v>52406</v>
      </c>
      <c r="Q11" s="28">
        <v>13779</v>
      </c>
      <c r="R11" s="28">
        <v>10276</v>
      </c>
      <c r="S11" s="28">
        <v>9123</v>
      </c>
      <c r="T11" s="28">
        <v>46786</v>
      </c>
      <c r="U11" s="28">
        <v>7702</v>
      </c>
      <c r="V11" s="28">
        <f>Financial[[#This Row],[Profit before tax]]-Financial[[#This Row],[Tax]]</f>
        <v>39084</v>
      </c>
      <c r="W11" s="28">
        <v>28.887344971839937</v>
      </c>
      <c r="X11" s="28">
        <v>41.835274275918536</v>
      </c>
      <c r="Y11" s="28">
        <v>1208.51</v>
      </c>
      <c r="Z11" s="51">
        <f>Financial[[#This Row],[Net profit]]/Financial[[#This Row],[Revenue]]</f>
        <v>9.2525561476564405E-2</v>
      </c>
      <c r="AA11" s="29">
        <v>0.13847098556954252</v>
      </c>
      <c r="AB11" s="29">
        <v>0.12406341660886383</v>
      </c>
      <c r="AC11" s="36">
        <f t="shared" si="0"/>
        <v>0.72378290144868396</v>
      </c>
      <c r="AD11" s="31">
        <f t="shared" si="1"/>
        <v>0.73861209964412811</v>
      </c>
      <c r="AE11" s="31">
        <f t="shared" si="2"/>
        <v>0.16462189543880648</v>
      </c>
      <c r="AF11" s="53">
        <f t="shared" si="3"/>
        <v>0.87593658339113611</v>
      </c>
      <c r="AG11" s="46">
        <f t="shared" si="4"/>
        <v>0.74579246651146813</v>
      </c>
    </row>
    <row r="12" spans="1:33" x14ac:dyDescent="0.25">
      <c r="A12" s="16" t="s">
        <v>7</v>
      </c>
      <c r="B12" s="12">
        <v>8632</v>
      </c>
      <c r="C12" s="12">
        <v>9352</v>
      </c>
      <c r="D12" s="12">
        <v>12113</v>
      </c>
      <c r="E12" s="12">
        <v>12204</v>
      </c>
      <c r="F12" s="12">
        <v>9413</v>
      </c>
      <c r="G12" s="12">
        <v>-4732</v>
      </c>
      <c r="H12" s="12">
        <v>7702</v>
      </c>
      <c r="I12" s="12">
        <v>11116</v>
      </c>
      <c r="J12" s="12">
        <v>13231</v>
      </c>
      <c r="K12" s="18">
        <v>10866</v>
      </c>
      <c r="M12" s="38" t="s">
        <v>72</v>
      </c>
      <c r="N12" s="32">
        <v>537909</v>
      </c>
      <c r="O12" s="32">
        <v>471050</v>
      </c>
      <c r="P12" s="32">
        <v>66859</v>
      </c>
      <c r="Q12" s="32">
        <v>12247</v>
      </c>
      <c r="R12" s="32">
        <v>11167</v>
      </c>
      <c r="S12" s="32">
        <v>12633</v>
      </c>
      <c r="T12" s="32">
        <v>55306</v>
      </c>
      <c r="U12" s="32">
        <v>11116</v>
      </c>
      <c r="V12" s="28">
        <f>Financial[[#This Row],[Profit before tax]]-Financial[[#This Row],[Tax]]</f>
        <v>44190</v>
      </c>
      <c r="W12" s="32">
        <v>32.657857396239805</v>
      </c>
      <c r="X12" s="32">
        <v>32.73974734555329</v>
      </c>
      <c r="Y12" s="32">
        <v>1069.21</v>
      </c>
      <c r="Z12" s="50">
        <f>Financial[[#This Row],[Net profit]]/Financial[[#This Row],[Revenue]]</f>
        <v>8.2151441972526953E-2</v>
      </c>
      <c r="AA12" s="33">
        <v>0.13780040733197554</v>
      </c>
      <c r="AB12" s="33">
        <v>0.12429425795069426</v>
      </c>
      <c r="AC12" s="34">
        <f t="shared" si="0"/>
        <v>0.27341961540009424</v>
      </c>
      <c r="AD12" s="35">
        <f t="shared" si="1"/>
        <v>0.13064169481117593</v>
      </c>
      <c r="AE12" s="35">
        <f t="shared" si="2"/>
        <v>0.20099085090225291</v>
      </c>
      <c r="AF12" s="53">
        <f t="shared" si="3"/>
        <v>0.87570574204930574</v>
      </c>
      <c r="AG12" s="46">
        <f t="shared" si="4"/>
        <v>0.6609431789287904</v>
      </c>
    </row>
    <row r="13" spans="1:33" s="2" customFormat="1" x14ac:dyDescent="0.25">
      <c r="A13" s="15" t="s">
        <v>8</v>
      </c>
      <c r="B13" s="11">
        <v>27384</v>
      </c>
      <c r="C13" s="11">
        <v>31425</v>
      </c>
      <c r="D13" s="11">
        <v>33612</v>
      </c>
      <c r="E13" s="11">
        <v>35163</v>
      </c>
      <c r="F13" s="11">
        <v>30903</v>
      </c>
      <c r="G13" s="11">
        <v>31944</v>
      </c>
      <c r="H13" s="11">
        <v>39084</v>
      </c>
      <c r="I13" s="11">
        <v>44190</v>
      </c>
      <c r="J13" s="11">
        <v>42042</v>
      </c>
      <c r="K13" s="17">
        <v>35262</v>
      </c>
      <c r="M13" s="37" t="s">
        <v>73</v>
      </c>
      <c r="N13" s="28">
        <v>531908</v>
      </c>
      <c r="O13" s="28">
        <v>457488</v>
      </c>
      <c r="P13" s="28">
        <v>74420</v>
      </c>
      <c r="Q13" s="28">
        <v>11973</v>
      </c>
      <c r="R13" s="28">
        <v>17690</v>
      </c>
      <c r="S13" s="28">
        <v>13430</v>
      </c>
      <c r="T13" s="28">
        <v>55273</v>
      </c>
      <c r="U13" s="28">
        <v>13231</v>
      </c>
      <c r="V13" s="28">
        <f>Financial[[#This Row],[Profit before tax]]-Financial[[#This Row],[Tax]]</f>
        <v>42042</v>
      </c>
      <c r="W13" s="28">
        <v>31.069955806494523</v>
      </c>
      <c r="X13" s="28">
        <v>47.822726535369391</v>
      </c>
      <c r="Y13" s="28">
        <v>1485.85</v>
      </c>
      <c r="Z13" s="51">
        <f>Financial[[#This Row],[Net profit]]/Financial[[#This Row],[Revenue]]</f>
        <v>7.9039984358197285E-2</v>
      </c>
      <c r="AA13" s="29">
        <v>0.16093430379144666</v>
      </c>
      <c r="AB13" s="29">
        <v>0.13991141325191575</v>
      </c>
      <c r="AC13" s="36">
        <f t="shared" si="0"/>
        <v>-1.1156162101768143E-2</v>
      </c>
      <c r="AD13" s="31">
        <f t="shared" si="1"/>
        <v>-4.8608282416836388E-2</v>
      </c>
      <c r="AE13" s="31">
        <f t="shared" si="2"/>
        <v>0.23937546360790982</v>
      </c>
      <c r="AF13" s="53">
        <f t="shared" si="3"/>
        <v>0.86008858674808431</v>
      </c>
      <c r="AG13" s="46">
        <f t="shared" si="4"/>
        <v>0.56492878258532653</v>
      </c>
    </row>
    <row r="14" spans="1:33" x14ac:dyDescent="0.25">
      <c r="A14" s="16" t="s">
        <v>63</v>
      </c>
      <c r="B14" s="12">
        <v>19.806448813088576</v>
      </c>
      <c r="C14" s="12">
        <v>22.653220109283314</v>
      </c>
      <c r="D14" s="12">
        <v>24.872168655976438</v>
      </c>
      <c r="E14" s="12">
        <v>26.003135491695385</v>
      </c>
      <c r="F14" s="12">
        <v>22.850994920029283</v>
      </c>
      <c r="G14" s="12">
        <v>25.194614674774623</v>
      </c>
      <c r="H14" s="12">
        <v>28.887344971839937</v>
      </c>
      <c r="I14" s="12">
        <v>32.657857396239805</v>
      </c>
      <c r="J14" s="12">
        <v>31.069955806494523</v>
      </c>
      <c r="K14" s="18">
        <v>26.057462090981645</v>
      </c>
      <c r="M14" s="41" t="s">
        <v>74</v>
      </c>
      <c r="N14" s="42">
        <v>515425</v>
      </c>
      <c r="O14" s="42">
        <v>457292</v>
      </c>
      <c r="P14" s="42">
        <v>58133</v>
      </c>
      <c r="Q14" s="42">
        <v>16030</v>
      </c>
      <c r="R14" s="42">
        <v>17981</v>
      </c>
      <c r="S14" s="42">
        <v>10054</v>
      </c>
      <c r="T14" s="42">
        <v>46128</v>
      </c>
      <c r="U14" s="42">
        <v>10866</v>
      </c>
      <c r="V14" s="28">
        <f>Financial[[#This Row],[Profit before tax]]-Financial[[#This Row],[Tax]]</f>
        <v>35262</v>
      </c>
      <c r="W14" s="42">
        <v>26.057462090981645</v>
      </c>
      <c r="X14" s="42">
        <v>48.934159264931083</v>
      </c>
      <c r="Y14" s="42">
        <v>1275.0999999999999</v>
      </c>
      <c r="Z14" s="52">
        <f>Financial[[#This Row],[Net profit]]/Financial[[#This Row],[Revenue]]</f>
        <v>6.8413445215113736E-2</v>
      </c>
      <c r="AA14" s="43">
        <v>0.21106573648686972</v>
      </c>
      <c r="AB14" s="43">
        <v>0.11278653538342145</v>
      </c>
      <c r="AC14" s="44">
        <f t="shared" si="0"/>
        <v>-3.0988441610203268E-2</v>
      </c>
      <c r="AD14" s="45">
        <f t="shared" si="1"/>
        <v>-0.16126730412444698</v>
      </c>
      <c r="AE14" s="45">
        <f t="shared" si="2"/>
        <v>0.23556191467221643</v>
      </c>
      <c r="AF14" s="54">
        <f t="shared" si="3"/>
        <v>0.88721346461657857</v>
      </c>
      <c r="AG14" s="47">
        <f t="shared" si="4"/>
        <v>0.60657457898267764</v>
      </c>
    </row>
    <row r="15" spans="1:33" x14ac:dyDescent="0.25">
      <c r="A15" s="16" t="s">
        <v>60</v>
      </c>
      <c r="B15" s="12">
        <v>11.989024496056091</v>
      </c>
      <c r="C15" s="12">
        <v>13.247123303102624</v>
      </c>
      <c r="D15" s="12">
        <v>16.125654563846247</v>
      </c>
      <c r="E15" s="12">
        <v>23.821358012683785</v>
      </c>
      <c r="F15" s="12">
        <v>22.146081681390154</v>
      </c>
      <c r="G15" s="12">
        <v>36.467316998497374</v>
      </c>
      <c r="H15" s="12">
        <v>41.835274275918536</v>
      </c>
      <c r="I15" s="12">
        <v>32.73974734555329</v>
      </c>
      <c r="J15" s="12">
        <v>47.822726535369391</v>
      </c>
      <c r="K15" s="18">
        <v>48.934159264931083</v>
      </c>
    </row>
    <row r="16" spans="1:33" s="2" customFormat="1" x14ac:dyDescent="0.25">
      <c r="A16" s="16" t="s">
        <v>62</v>
      </c>
      <c r="B16" s="11">
        <v>237.46</v>
      </c>
      <c r="C16" s="11">
        <v>300.08999999999997</v>
      </c>
      <c r="D16" s="11">
        <v>401.08</v>
      </c>
      <c r="E16" s="11">
        <v>619.42999999999995</v>
      </c>
      <c r="F16" s="11">
        <v>506.06</v>
      </c>
      <c r="G16" s="11">
        <v>918.78</v>
      </c>
      <c r="H16" s="11">
        <v>1208.51</v>
      </c>
      <c r="I16" s="11">
        <v>1069.21</v>
      </c>
      <c r="J16" s="11">
        <v>1485.85</v>
      </c>
      <c r="K16" s="17">
        <v>1275.0999999999999</v>
      </c>
    </row>
    <row r="17" spans="1:21" x14ac:dyDescent="0.25">
      <c r="A17" s="16" t="s">
        <v>9</v>
      </c>
      <c r="B17" s="13">
        <v>0.12423312883435583</v>
      </c>
      <c r="C17" s="13">
        <v>0.11379793158313445</v>
      </c>
      <c r="D17" s="13">
        <v>0.11308461263834345</v>
      </c>
      <c r="E17" s="13">
        <v>0.11717856838153742</v>
      </c>
      <c r="F17" s="13">
        <v>0.13333171536744007</v>
      </c>
      <c r="G17" s="13">
        <v>0.14123153017781118</v>
      </c>
      <c r="H17" s="13">
        <v>0.13847098556954252</v>
      </c>
      <c r="I17" s="13">
        <v>0.13780040733197554</v>
      </c>
      <c r="J17" s="13">
        <v>0.16093430379144666</v>
      </c>
      <c r="K17" s="19">
        <v>0.21106573648686972</v>
      </c>
      <c r="R17" s="57"/>
    </row>
    <row r="18" spans="1:21" ht="15.75" thickBot="1" x14ac:dyDescent="0.3">
      <c r="A18" s="23" t="s">
        <v>61</v>
      </c>
      <c r="B18" s="24">
        <v>0.1699468808119339</v>
      </c>
      <c r="C18" s="24">
        <v>0.18007290198963413</v>
      </c>
      <c r="D18" s="24">
        <v>0.17897699766242028</v>
      </c>
      <c r="E18" s="24">
        <v>0.15884545670327774</v>
      </c>
      <c r="F18" s="24">
        <v>0.15776397885134352</v>
      </c>
      <c r="G18" s="24">
        <v>0.13673944093042237</v>
      </c>
      <c r="H18" s="24">
        <v>0.12406341660886383</v>
      </c>
      <c r="I18" s="24">
        <v>0.12429425795069426</v>
      </c>
      <c r="J18" s="24">
        <v>0.13991141325191575</v>
      </c>
      <c r="K18" s="25">
        <v>0.11278653538342145</v>
      </c>
      <c r="R18" s="57"/>
    </row>
    <row r="19" spans="1:21" x14ac:dyDescent="0.25">
      <c r="B19" s="5"/>
      <c r="C19" s="5"/>
      <c r="D19" s="5"/>
      <c r="E19" s="5"/>
      <c r="F19" s="5"/>
      <c r="G19" s="5"/>
      <c r="H19" s="5"/>
      <c r="I19" s="5"/>
      <c r="J19" s="5"/>
      <c r="K19" s="5"/>
      <c r="R19" s="57"/>
    </row>
    <row r="20" spans="1:21" x14ac:dyDescent="0.25">
      <c r="B20" s="5"/>
      <c r="C20" s="5"/>
      <c r="D20" s="5"/>
      <c r="E20" s="5"/>
      <c r="F20" s="5"/>
      <c r="G20" s="5"/>
      <c r="H20" s="5"/>
      <c r="I20" s="5"/>
      <c r="J20" s="5"/>
      <c r="K20" s="5"/>
      <c r="R20" s="57"/>
    </row>
    <row r="21" spans="1:21" s="2" customFormat="1" x14ac:dyDescent="0.25">
      <c r="A21"/>
      <c r="B21"/>
      <c r="C21"/>
      <c r="D21"/>
      <c r="E21"/>
      <c r="F21"/>
      <c r="G21"/>
      <c r="H21" s="5"/>
      <c r="I21" s="5"/>
      <c r="J21" s="5"/>
      <c r="K21" s="5"/>
      <c r="R21" s="57"/>
      <c r="U21"/>
    </row>
    <row r="22" spans="1:21" x14ac:dyDescent="0.25">
      <c r="H22" s="5"/>
      <c r="I22" s="5"/>
      <c r="J22" s="5"/>
      <c r="K22" s="5"/>
      <c r="M22" t="s">
        <v>84</v>
      </c>
      <c r="R22" s="57"/>
    </row>
    <row r="23" spans="1:21" x14ac:dyDescent="0.25">
      <c r="H23" s="6"/>
      <c r="I23" s="6"/>
      <c r="J23" s="6"/>
      <c r="K23" s="6"/>
      <c r="M23" t="s">
        <v>55</v>
      </c>
      <c r="R23" s="57"/>
    </row>
    <row r="24" spans="1:21" x14ac:dyDescent="0.25">
      <c r="M24" t="s">
        <v>56</v>
      </c>
    </row>
    <row r="25" spans="1:21" x14ac:dyDescent="0.25">
      <c r="M25" t="s">
        <v>58</v>
      </c>
    </row>
    <row r="26" spans="1:21" x14ac:dyDescent="0.25">
      <c r="A26" t="s">
        <v>84</v>
      </c>
      <c r="M26" t="s">
        <v>57</v>
      </c>
    </row>
    <row r="27" spans="1:21" x14ac:dyDescent="0.25">
      <c r="A27" t="s">
        <v>55</v>
      </c>
      <c r="M27" t="s">
        <v>59</v>
      </c>
    </row>
    <row r="28" spans="1:21" x14ac:dyDescent="0.25">
      <c r="A28" t="s">
        <v>56</v>
      </c>
    </row>
    <row r="29" spans="1:21" x14ac:dyDescent="0.25">
      <c r="A29" t="s">
        <v>58</v>
      </c>
    </row>
    <row r="30" spans="1:21" x14ac:dyDescent="0.25">
      <c r="A30" t="s">
        <v>57</v>
      </c>
    </row>
    <row r="31" spans="1:21" x14ac:dyDescent="0.25">
      <c r="A31" t="s">
        <v>59</v>
      </c>
    </row>
    <row r="46" spans="1:14" x14ac:dyDescent="0.25">
      <c r="A46" s="14" t="s">
        <v>75</v>
      </c>
      <c r="B46" s="14" t="s">
        <v>0</v>
      </c>
      <c r="C46" s="14" t="s">
        <v>1</v>
      </c>
      <c r="D46" s="14" t="s">
        <v>2</v>
      </c>
      <c r="E46" s="14" t="s">
        <v>3</v>
      </c>
      <c r="F46" s="14" t="s">
        <v>4</v>
      </c>
      <c r="G46" s="14" t="s">
        <v>5</v>
      </c>
      <c r="H46" s="14" t="s">
        <v>6</v>
      </c>
      <c r="I46" s="14" t="s">
        <v>7</v>
      </c>
      <c r="J46" s="14" t="s">
        <v>8</v>
      </c>
      <c r="K46" s="14" t="s">
        <v>63</v>
      </c>
      <c r="L46" s="14" t="s">
        <v>60</v>
      </c>
      <c r="M46" s="14" t="s">
        <v>9</v>
      </c>
      <c r="N46" s="14" t="s">
        <v>61</v>
      </c>
    </row>
    <row r="47" spans="1:14" x14ac:dyDescent="0.25">
      <c r="A47" t="s">
        <v>65</v>
      </c>
      <c r="B47">
        <v>231743</v>
      </c>
      <c r="C47">
        <v>192359</v>
      </c>
      <c r="D47">
        <v>39384</v>
      </c>
      <c r="E47">
        <v>7784</v>
      </c>
      <c r="F47">
        <v>8590</v>
      </c>
      <c r="G47">
        <v>2562</v>
      </c>
      <c r="H47">
        <v>36016</v>
      </c>
      <c r="I47">
        <v>8632</v>
      </c>
      <c r="J47">
        <v>27384</v>
      </c>
      <c r="K47">
        <v>19.806448813088576</v>
      </c>
      <c r="L47">
        <v>11.989024496056091</v>
      </c>
      <c r="M47">
        <v>0.12423312883435583</v>
      </c>
      <c r="N47">
        <v>0.1699468808119339</v>
      </c>
    </row>
    <row r="48" spans="1:14" x14ac:dyDescent="0.25">
      <c r="A48" t="s">
        <v>66</v>
      </c>
      <c r="B48">
        <v>240597</v>
      </c>
      <c r="C48">
        <v>197272</v>
      </c>
      <c r="D48">
        <v>43325</v>
      </c>
      <c r="E48">
        <v>8640</v>
      </c>
      <c r="F48">
        <v>8465</v>
      </c>
      <c r="G48">
        <v>2723</v>
      </c>
      <c r="H48">
        <v>40777</v>
      </c>
      <c r="I48">
        <v>9352</v>
      </c>
      <c r="J48">
        <v>31425</v>
      </c>
      <c r="K48">
        <v>22.653220109283314</v>
      </c>
      <c r="L48">
        <v>13.247123303102624</v>
      </c>
      <c r="M48">
        <v>0.11379793158313445</v>
      </c>
      <c r="N48">
        <v>0.18007290198963413</v>
      </c>
    </row>
    <row r="49" spans="1:14" x14ac:dyDescent="0.25">
      <c r="A49" t="s">
        <v>67</v>
      </c>
      <c r="B49">
        <v>289188</v>
      </c>
      <c r="C49">
        <v>237430</v>
      </c>
      <c r="D49">
        <v>51758</v>
      </c>
      <c r="E49">
        <v>8203</v>
      </c>
      <c r="F49">
        <v>9580</v>
      </c>
      <c r="G49">
        <v>4656</v>
      </c>
      <c r="H49">
        <v>45725</v>
      </c>
      <c r="I49">
        <v>12113</v>
      </c>
      <c r="J49">
        <v>33612</v>
      </c>
      <c r="K49">
        <v>24.872168655976438</v>
      </c>
      <c r="L49">
        <v>16.125654563846247</v>
      </c>
      <c r="M49">
        <v>0.11308461263834345</v>
      </c>
      <c r="N49">
        <v>0.17897699766242028</v>
      </c>
    </row>
    <row r="50" spans="1:14" x14ac:dyDescent="0.25">
      <c r="A50" t="s">
        <v>68</v>
      </c>
      <c r="B50">
        <v>370744</v>
      </c>
      <c r="C50">
        <v>311853</v>
      </c>
      <c r="D50">
        <v>58891</v>
      </c>
      <c r="E50">
        <v>8785</v>
      </c>
      <c r="F50">
        <v>10558</v>
      </c>
      <c r="G50">
        <v>9751</v>
      </c>
      <c r="H50">
        <v>47367</v>
      </c>
      <c r="I50">
        <v>12204</v>
      </c>
      <c r="J50">
        <v>35163</v>
      </c>
      <c r="K50">
        <v>26.003135491695385</v>
      </c>
      <c r="L50">
        <v>23.821358012683785</v>
      </c>
      <c r="M50">
        <v>0.11717856838153742</v>
      </c>
      <c r="N50">
        <v>0.15884545670327774</v>
      </c>
    </row>
    <row r="51" spans="1:14" x14ac:dyDescent="0.25">
      <c r="A51" t="s">
        <v>69</v>
      </c>
      <c r="B51">
        <v>336097</v>
      </c>
      <c r="C51">
        <v>283073</v>
      </c>
      <c r="D51">
        <v>53024</v>
      </c>
      <c r="E51">
        <v>9125</v>
      </c>
      <c r="F51">
        <v>9728</v>
      </c>
      <c r="G51">
        <v>12105</v>
      </c>
      <c r="H51">
        <v>40316</v>
      </c>
      <c r="I51">
        <v>9413</v>
      </c>
      <c r="J51">
        <v>30903</v>
      </c>
      <c r="K51">
        <v>22.850994920029283</v>
      </c>
      <c r="L51">
        <v>22.146081681390154</v>
      </c>
      <c r="M51">
        <v>0.13333171536744007</v>
      </c>
      <c r="N51">
        <v>0.15776397885134352</v>
      </c>
    </row>
    <row r="52" spans="1:14" x14ac:dyDescent="0.25">
      <c r="A52" t="s">
        <v>70</v>
      </c>
      <c r="B52">
        <v>245050</v>
      </c>
      <c r="C52">
        <v>211542</v>
      </c>
      <c r="D52">
        <v>33508</v>
      </c>
      <c r="E52">
        <v>19114</v>
      </c>
      <c r="F52">
        <v>9199</v>
      </c>
      <c r="G52">
        <v>16211</v>
      </c>
      <c r="H52">
        <v>27212</v>
      </c>
      <c r="I52">
        <v>-4732</v>
      </c>
      <c r="J52">
        <v>31944</v>
      </c>
      <c r="K52">
        <v>25.194614674774623</v>
      </c>
      <c r="L52">
        <v>36.467316998497374</v>
      </c>
      <c r="M52">
        <v>0.14123153017781118</v>
      </c>
      <c r="N52">
        <v>0.13673944093042237</v>
      </c>
    </row>
    <row r="53" spans="1:14" x14ac:dyDescent="0.25">
      <c r="A53" t="s">
        <v>71</v>
      </c>
      <c r="B53">
        <v>422413</v>
      </c>
      <c r="C53">
        <v>370007</v>
      </c>
      <c r="D53">
        <v>52406</v>
      </c>
      <c r="E53">
        <v>13779</v>
      </c>
      <c r="F53">
        <v>10276</v>
      </c>
      <c r="G53">
        <v>9123</v>
      </c>
      <c r="H53">
        <v>46786</v>
      </c>
      <c r="I53">
        <v>7702</v>
      </c>
      <c r="J53">
        <v>39084</v>
      </c>
      <c r="K53">
        <v>28.887344971839937</v>
      </c>
      <c r="L53">
        <v>41.835274275918536</v>
      </c>
      <c r="M53">
        <v>0.13847098556954252</v>
      </c>
      <c r="N53">
        <v>0.12406341660886383</v>
      </c>
    </row>
    <row r="54" spans="1:14" x14ac:dyDescent="0.25">
      <c r="A54" t="s">
        <v>72</v>
      </c>
      <c r="B54">
        <v>537909</v>
      </c>
      <c r="C54">
        <v>471050</v>
      </c>
      <c r="D54">
        <v>66859</v>
      </c>
      <c r="E54">
        <v>12247</v>
      </c>
      <c r="F54">
        <v>11167</v>
      </c>
      <c r="G54">
        <v>12633</v>
      </c>
      <c r="H54">
        <v>55306</v>
      </c>
      <c r="I54">
        <v>11116</v>
      </c>
      <c r="J54">
        <v>44190</v>
      </c>
      <c r="K54">
        <v>32.657857396239805</v>
      </c>
      <c r="L54">
        <v>32.73974734555329</v>
      </c>
      <c r="M54">
        <v>0.13780040733197554</v>
      </c>
      <c r="N54">
        <v>0.12429425795069426</v>
      </c>
    </row>
    <row r="55" spans="1:14" x14ac:dyDescent="0.25">
      <c r="A55" t="s">
        <v>73</v>
      </c>
      <c r="B55">
        <v>531908</v>
      </c>
      <c r="C55">
        <v>457488</v>
      </c>
      <c r="D55">
        <v>74420</v>
      </c>
      <c r="E55">
        <v>11973</v>
      </c>
      <c r="F55">
        <v>17690</v>
      </c>
      <c r="G55">
        <v>13430</v>
      </c>
      <c r="H55">
        <v>55273</v>
      </c>
      <c r="I55">
        <v>13231</v>
      </c>
      <c r="J55">
        <v>42042</v>
      </c>
      <c r="K55">
        <v>31.069955806494523</v>
      </c>
      <c r="L55">
        <v>47.822726535369391</v>
      </c>
      <c r="M55">
        <v>0.16093430379144666</v>
      </c>
      <c r="N55">
        <v>0.13991141325191575</v>
      </c>
    </row>
    <row r="56" spans="1:14" x14ac:dyDescent="0.25">
      <c r="A56" t="s">
        <v>74</v>
      </c>
      <c r="B56">
        <v>515425</v>
      </c>
      <c r="C56">
        <v>457292</v>
      </c>
      <c r="D56">
        <v>58133</v>
      </c>
      <c r="E56">
        <v>16030</v>
      </c>
      <c r="F56">
        <v>17981</v>
      </c>
      <c r="G56">
        <v>10054</v>
      </c>
      <c r="H56">
        <v>46128</v>
      </c>
      <c r="I56">
        <v>10866</v>
      </c>
      <c r="J56">
        <v>35262</v>
      </c>
      <c r="K56">
        <v>26.057462090981645</v>
      </c>
      <c r="L56">
        <v>48.934159264931083</v>
      </c>
      <c r="M56">
        <v>0.21106573648686972</v>
      </c>
      <c r="N56">
        <v>0.11278653538342145</v>
      </c>
    </row>
  </sheetData>
  <sheetProtection algorithmName="SHA-512" hashValue="8ayoWpCeiSMyi/CjjJOuZTDg+RGMiwEI0fBLuGbjEEiix2+aawRqWpNL+dvJN+t/mNEVRJjZlKDb+030sLGOCg==" saltValue="WiDpSr56hjpUBdZJbBoZIw==" spinCount="100000" sheet="1" objects="1" scenarios="1"/>
  <phoneticPr fontId="8" type="noConversion"/>
  <printOptions gridLines="1"/>
  <pageMargins left="0.7" right="0.7" top="0.75" bottom="0.75" header="0.3" footer="0.3"/>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E69E-1C97-4631-8F0D-5ED4FE41E53D}">
  <dimension ref="A3:C109"/>
  <sheetViews>
    <sheetView topLeftCell="A87" workbookViewId="0">
      <selection activeCell="B74" sqref="B74"/>
    </sheetView>
  </sheetViews>
  <sheetFormatPr defaultRowHeight="15" x14ac:dyDescent="0.25"/>
  <cols>
    <col min="1" max="1" width="13.140625" bestFit="1" customWidth="1"/>
    <col min="2" max="3" width="12" bestFit="1" customWidth="1"/>
    <col min="4" max="4" width="18.85546875" bestFit="1" customWidth="1"/>
    <col min="5" max="11" width="7" bestFit="1" customWidth="1"/>
    <col min="12" max="12" width="11.28515625" bestFit="1" customWidth="1"/>
  </cols>
  <sheetData>
    <row r="3" spans="1:3" x14ac:dyDescent="0.25">
      <c r="A3" s="48" t="s">
        <v>82</v>
      </c>
      <c r="B3" t="s">
        <v>88</v>
      </c>
      <c r="C3" t="s">
        <v>8</v>
      </c>
    </row>
    <row r="4" spans="1:3" x14ac:dyDescent="0.25">
      <c r="A4" s="49" t="s">
        <v>65</v>
      </c>
      <c r="B4">
        <v>231743</v>
      </c>
      <c r="C4">
        <v>27384</v>
      </c>
    </row>
    <row r="5" spans="1:3" x14ac:dyDescent="0.25">
      <c r="A5" s="49" t="s">
        <v>66</v>
      </c>
      <c r="B5">
        <v>240597</v>
      </c>
      <c r="C5">
        <v>31425</v>
      </c>
    </row>
    <row r="6" spans="1:3" x14ac:dyDescent="0.25">
      <c r="A6" s="49" t="s">
        <v>67</v>
      </c>
      <c r="B6">
        <v>289188</v>
      </c>
      <c r="C6">
        <v>33612</v>
      </c>
    </row>
    <row r="7" spans="1:3" x14ac:dyDescent="0.25">
      <c r="A7" s="49" t="s">
        <v>68</v>
      </c>
      <c r="B7">
        <v>370744</v>
      </c>
      <c r="C7">
        <v>35163</v>
      </c>
    </row>
    <row r="8" spans="1:3" x14ac:dyDescent="0.25">
      <c r="A8" s="49" t="s">
        <v>69</v>
      </c>
      <c r="B8">
        <v>336097</v>
      </c>
      <c r="C8">
        <v>30903</v>
      </c>
    </row>
    <row r="9" spans="1:3" x14ac:dyDescent="0.25">
      <c r="A9" s="49" t="s">
        <v>70</v>
      </c>
      <c r="B9">
        <v>245050</v>
      </c>
      <c r="C9">
        <v>22480</v>
      </c>
    </row>
    <row r="10" spans="1:3" x14ac:dyDescent="0.25">
      <c r="A10" s="49" t="s">
        <v>71</v>
      </c>
      <c r="B10">
        <v>422413</v>
      </c>
      <c r="C10">
        <v>39084</v>
      </c>
    </row>
    <row r="11" spans="1:3" x14ac:dyDescent="0.25">
      <c r="A11" s="49" t="s">
        <v>72</v>
      </c>
      <c r="B11">
        <v>537909</v>
      </c>
      <c r="C11">
        <v>44190</v>
      </c>
    </row>
    <row r="12" spans="1:3" x14ac:dyDescent="0.25">
      <c r="A12" s="49" t="s">
        <v>73</v>
      </c>
      <c r="B12">
        <v>531908</v>
      </c>
      <c r="C12">
        <v>42042</v>
      </c>
    </row>
    <row r="13" spans="1:3" x14ac:dyDescent="0.25">
      <c r="A13" s="49" t="s">
        <v>74</v>
      </c>
      <c r="B13">
        <v>515425</v>
      </c>
      <c r="C13">
        <v>35262</v>
      </c>
    </row>
    <row r="20" spans="1:2" x14ac:dyDescent="0.25">
      <c r="A20" s="48" t="s">
        <v>82</v>
      </c>
      <c r="B20" t="s">
        <v>61</v>
      </c>
    </row>
    <row r="21" spans="1:2" x14ac:dyDescent="0.25">
      <c r="A21" s="49" t="s">
        <v>65</v>
      </c>
      <c r="B21" s="5">
        <v>0.1699468808119339</v>
      </c>
    </row>
    <row r="22" spans="1:2" x14ac:dyDescent="0.25">
      <c r="A22" s="49" t="s">
        <v>66</v>
      </c>
      <c r="B22" s="5">
        <v>0.18007290198963413</v>
      </c>
    </row>
    <row r="23" spans="1:2" x14ac:dyDescent="0.25">
      <c r="A23" s="49" t="s">
        <v>67</v>
      </c>
      <c r="B23" s="5">
        <v>0.17897699766242028</v>
      </c>
    </row>
    <row r="24" spans="1:2" x14ac:dyDescent="0.25">
      <c r="A24" s="49" t="s">
        <v>68</v>
      </c>
      <c r="B24" s="5">
        <v>0.15884545670327774</v>
      </c>
    </row>
    <row r="25" spans="1:2" x14ac:dyDescent="0.25">
      <c r="A25" s="49" t="s">
        <v>69</v>
      </c>
      <c r="B25" s="5">
        <v>0.15776397885134352</v>
      </c>
    </row>
    <row r="26" spans="1:2" x14ac:dyDescent="0.25">
      <c r="A26" s="49" t="s">
        <v>70</v>
      </c>
      <c r="B26" s="5">
        <v>0.13673944093042237</v>
      </c>
    </row>
    <row r="27" spans="1:2" x14ac:dyDescent="0.25">
      <c r="A27" s="49" t="s">
        <v>71</v>
      </c>
      <c r="B27" s="5">
        <v>0.12406341660886383</v>
      </c>
    </row>
    <row r="28" spans="1:2" x14ac:dyDescent="0.25">
      <c r="A28" s="49" t="s">
        <v>72</v>
      </c>
      <c r="B28" s="5">
        <v>0.12429425795069426</v>
      </c>
    </row>
    <row r="29" spans="1:2" x14ac:dyDescent="0.25">
      <c r="A29" s="49" t="s">
        <v>73</v>
      </c>
      <c r="B29" s="5">
        <v>0.13991141325191575</v>
      </c>
    </row>
    <row r="30" spans="1:2" x14ac:dyDescent="0.25">
      <c r="A30" s="49" t="s">
        <v>74</v>
      </c>
      <c r="B30" s="5">
        <v>0.11278653538342145</v>
      </c>
    </row>
    <row r="35" spans="1:3" x14ac:dyDescent="0.25">
      <c r="A35" s="48" t="s">
        <v>82</v>
      </c>
      <c r="B35" t="s">
        <v>61</v>
      </c>
      <c r="C35" t="s">
        <v>80</v>
      </c>
    </row>
    <row r="36" spans="1:3" x14ac:dyDescent="0.25">
      <c r="A36" s="49" t="s">
        <v>65</v>
      </c>
      <c r="B36" s="5">
        <v>0.1699468808119339</v>
      </c>
      <c r="C36" s="5">
        <v>0.83005311918806612</v>
      </c>
    </row>
    <row r="37" spans="1:3" x14ac:dyDescent="0.25">
      <c r="A37" s="49" t="s">
        <v>66</v>
      </c>
      <c r="B37" s="5">
        <v>0.18007290198963413</v>
      </c>
      <c r="C37" s="5">
        <v>0.8199270980103659</v>
      </c>
    </row>
    <row r="38" spans="1:3" x14ac:dyDescent="0.25">
      <c r="A38" s="49" t="s">
        <v>67</v>
      </c>
      <c r="B38" s="5">
        <v>0.17897699766242028</v>
      </c>
      <c r="C38" s="5">
        <v>0.82102300233757974</v>
      </c>
    </row>
    <row r="39" spans="1:3" x14ac:dyDescent="0.25">
      <c r="A39" s="49" t="s">
        <v>68</v>
      </c>
      <c r="B39" s="5">
        <v>0.15884545670327774</v>
      </c>
      <c r="C39" s="5">
        <v>0.84115454329672223</v>
      </c>
    </row>
    <row r="40" spans="1:3" x14ac:dyDescent="0.25">
      <c r="A40" s="49" t="s">
        <v>69</v>
      </c>
      <c r="B40" s="5">
        <v>0.15776397885134352</v>
      </c>
      <c r="C40" s="5">
        <v>0.84223602114865648</v>
      </c>
    </row>
    <row r="41" spans="1:3" x14ac:dyDescent="0.25">
      <c r="A41" s="49" t="s">
        <v>70</v>
      </c>
      <c r="B41" s="5">
        <v>0.13673944093042237</v>
      </c>
      <c r="C41" s="5">
        <v>0.86326055906957766</v>
      </c>
    </row>
    <row r="42" spans="1:3" x14ac:dyDescent="0.25">
      <c r="A42" s="49" t="s">
        <v>71</v>
      </c>
      <c r="B42" s="5">
        <v>0.12406341660886383</v>
      </c>
      <c r="C42" s="5">
        <v>0.87593658339113611</v>
      </c>
    </row>
    <row r="43" spans="1:3" x14ac:dyDescent="0.25">
      <c r="A43" s="49" t="s">
        <v>72</v>
      </c>
      <c r="B43" s="5">
        <v>0.12429425795069426</v>
      </c>
      <c r="C43" s="5">
        <v>0.87570574204930574</v>
      </c>
    </row>
    <row r="44" spans="1:3" x14ac:dyDescent="0.25">
      <c r="A44" s="49" t="s">
        <v>73</v>
      </c>
      <c r="B44" s="5">
        <v>0.13991141325191575</v>
      </c>
      <c r="C44" s="5">
        <v>0.86008858674808431</v>
      </c>
    </row>
    <row r="45" spans="1:3" x14ac:dyDescent="0.25">
      <c r="A45" s="49" t="s">
        <v>74</v>
      </c>
      <c r="B45" s="5">
        <v>0.11278653538342145</v>
      </c>
      <c r="C45" s="5">
        <v>0.88721346461657857</v>
      </c>
    </row>
    <row r="51" spans="1:2" x14ac:dyDescent="0.25">
      <c r="A51" s="48" t="s">
        <v>82</v>
      </c>
      <c r="B51" t="s">
        <v>85</v>
      </c>
    </row>
    <row r="52" spans="1:2" x14ac:dyDescent="0.25">
      <c r="A52" s="49" t="s">
        <v>65</v>
      </c>
      <c r="B52" s="5">
        <v>0.6953077391834247</v>
      </c>
    </row>
    <row r="53" spans="1:2" x14ac:dyDescent="0.25">
      <c r="A53" s="49" t="s">
        <v>66</v>
      </c>
      <c r="B53" s="5">
        <v>0.72533179457587993</v>
      </c>
    </row>
    <row r="54" spans="1:2" x14ac:dyDescent="0.25">
      <c r="A54" s="49" t="s">
        <v>67</v>
      </c>
      <c r="B54" s="5">
        <v>0.64940685497894046</v>
      </c>
    </row>
    <row r="55" spans="1:2" x14ac:dyDescent="0.25">
      <c r="A55" s="49" t="s">
        <v>68</v>
      </c>
      <c r="B55" s="5">
        <v>0.59708614219490241</v>
      </c>
    </row>
    <row r="56" spans="1:2" x14ac:dyDescent="0.25">
      <c r="A56" s="49" t="s">
        <v>69</v>
      </c>
      <c r="B56" s="5">
        <v>0.58281155703077847</v>
      </c>
    </row>
    <row r="57" spans="1:2" x14ac:dyDescent="0.25">
      <c r="A57" s="49" t="s">
        <v>70</v>
      </c>
      <c r="B57" s="5">
        <v>0.67088456488002868</v>
      </c>
    </row>
    <row r="58" spans="1:2" x14ac:dyDescent="0.25">
      <c r="A58" s="49" t="s">
        <v>71</v>
      </c>
      <c r="B58" s="5">
        <v>0.74579246651146813</v>
      </c>
    </row>
    <row r="59" spans="1:2" x14ac:dyDescent="0.25">
      <c r="A59" s="49" t="s">
        <v>72</v>
      </c>
      <c r="B59" s="5">
        <v>0.6609431789287904</v>
      </c>
    </row>
    <row r="60" spans="1:2" x14ac:dyDescent="0.25">
      <c r="A60" s="49" t="s">
        <v>73</v>
      </c>
      <c r="B60" s="5">
        <v>0.56492878258532653</v>
      </c>
    </row>
    <row r="61" spans="1:2" x14ac:dyDescent="0.25">
      <c r="A61" s="49" t="s">
        <v>74</v>
      </c>
      <c r="B61" s="5">
        <v>0.60657457898267764</v>
      </c>
    </row>
    <row r="68" spans="1:3" x14ac:dyDescent="0.25">
      <c r="A68" s="48" t="s">
        <v>82</v>
      </c>
      <c r="B68" t="s">
        <v>86</v>
      </c>
      <c r="C68" t="s">
        <v>87</v>
      </c>
    </row>
    <row r="69" spans="1:3" x14ac:dyDescent="0.25">
      <c r="A69" s="49" t="s">
        <v>65</v>
      </c>
      <c r="B69" s="5">
        <v>0</v>
      </c>
      <c r="C69" s="5">
        <v>0</v>
      </c>
    </row>
    <row r="70" spans="1:3" x14ac:dyDescent="0.25">
      <c r="A70" s="49" t="s">
        <v>66</v>
      </c>
      <c r="B70" s="5">
        <v>3.8206116258096251E-2</v>
      </c>
      <c r="C70" s="5">
        <v>0.14756792287467135</v>
      </c>
    </row>
    <row r="71" spans="1:3" x14ac:dyDescent="0.25">
      <c r="A71" s="49" t="s">
        <v>67</v>
      </c>
      <c r="B71" s="5">
        <v>0.2019601241910747</v>
      </c>
      <c r="C71" s="5">
        <v>6.959427207637231E-2</v>
      </c>
    </row>
    <row r="72" spans="1:3" x14ac:dyDescent="0.25">
      <c r="A72" s="49" t="s">
        <v>68</v>
      </c>
      <c r="B72" s="5">
        <v>0.28201723446339405</v>
      </c>
      <c r="C72" s="5">
        <v>4.6144234202070686E-2</v>
      </c>
    </row>
    <row r="73" spans="1:3" x14ac:dyDescent="0.25">
      <c r="A73" s="49" t="s">
        <v>69</v>
      </c>
      <c r="B73" s="5">
        <v>-9.3452624991908165E-2</v>
      </c>
      <c r="C73" s="5">
        <v>-0.12115007251940961</v>
      </c>
    </row>
    <row r="74" spans="1:3" x14ac:dyDescent="0.25">
      <c r="A74" s="49" t="s">
        <v>70</v>
      </c>
      <c r="B74" s="5">
        <v>-0.27089500947643091</v>
      </c>
      <c r="C74" s="5">
        <v>-0.27256253438177525</v>
      </c>
    </row>
    <row r="75" spans="1:3" x14ac:dyDescent="0.25">
      <c r="A75" s="49" t="s">
        <v>71</v>
      </c>
      <c r="B75" s="5">
        <v>0.72378290144868396</v>
      </c>
      <c r="C75" s="5">
        <v>0.73861209964412811</v>
      </c>
    </row>
    <row r="76" spans="1:3" x14ac:dyDescent="0.25">
      <c r="A76" s="49" t="s">
        <v>72</v>
      </c>
      <c r="B76" s="5">
        <v>0.27341961540009424</v>
      </c>
      <c r="C76" s="5">
        <v>0.13064169481117593</v>
      </c>
    </row>
    <row r="77" spans="1:3" x14ac:dyDescent="0.25">
      <c r="A77" s="49" t="s">
        <v>73</v>
      </c>
      <c r="B77" s="5">
        <v>-1.1156162101768143E-2</v>
      </c>
      <c r="C77" s="5">
        <v>-4.8608282416836388E-2</v>
      </c>
    </row>
    <row r="78" spans="1:3" x14ac:dyDescent="0.25">
      <c r="A78" s="49" t="s">
        <v>74</v>
      </c>
      <c r="B78" s="5">
        <v>-3.0988441610203268E-2</v>
      </c>
      <c r="C78" s="5">
        <v>-0.16126730412444698</v>
      </c>
    </row>
    <row r="84" spans="1:3" x14ac:dyDescent="0.25">
      <c r="A84" s="48" t="s">
        <v>82</v>
      </c>
      <c r="B84" t="s">
        <v>63</v>
      </c>
      <c r="C84" t="s">
        <v>62</v>
      </c>
    </row>
    <row r="85" spans="1:3" x14ac:dyDescent="0.25">
      <c r="A85" s="49" t="s">
        <v>65</v>
      </c>
      <c r="B85" s="55">
        <v>19.806448813088576</v>
      </c>
      <c r="C85">
        <v>237.46</v>
      </c>
    </row>
    <row r="86" spans="1:3" x14ac:dyDescent="0.25">
      <c r="A86" s="49" t="s">
        <v>66</v>
      </c>
      <c r="B86" s="55">
        <v>22.653220109283314</v>
      </c>
      <c r="C86">
        <v>300.08999999999997</v>
      </c>
    </row>
    <row r="87" spans="1:3" x14ac:dyDescent="0.25">
      <c r="A87" s="49" t="s">
        <v>67</v>
      </c>
      <c r="B87" s="55">
        <v>24.872168655976438</v>
      </c>
      <c r="C87">
        <v>401.08</v>
      </c>
    </row>
    <row r="88" spans="1:3" x14ac:dyDescent="0.25">
      <c r="A88" s="49" t="s">
        <v>68</v>
      </c>
      <c r="B88" s="55">
        <v>26.003135491695385</v>
      </c>
      <c r="C88">
        <v>619.42999999999995</v>
      </c>
    </row>
    <row r="89" spans="1:3" x14ac:dyDescent="0.25">
      <c r="A89" s="49" t="s">
        <v>69</v>
      </c>
      <c r="B89" s="55">
        <v>22.850994920029283</v>
      </c>
      <c r="C89">
        <v>506.06</v>
      </c>
    </row>
    <row r="90" spans="1:3" x14ac:dyDescent="0.25">
      <c r="A90" s="49" t="s">
        <v>70</v>
      </c>
      <c r="B90" s="55">
        <v>25.194614674774623</v>
      </c>
      <c r="C90">
        <v>918.78</v>
      </c>
    </row>
    <row r="91" spans="1:3" x14ac:dyDescent="0.25">
      <c r="A91" s="49" t="s">
        <v>71</v>
      </c>
      <c r="B91" s="55">
        <v>28.887344971839937</v>
      </c>
      <c r="C91">
        <v>1208.51</v>
      </c>
    </row>
    <row r="92" spans="1:3" x14ac:dyDescent="0.25">
      <c r="A92" s="49" t="s">
        <v>72</v>
      </c>
      <c r="B92" s="55">
        <v>32.657857396239805</v>
      </c>
      <c r="C92">
        <v>1069.21</v>
      </c>
    </row>
    <row r="93" spans="1:3" x14ac:dyDescent="0.25">
      <c r="A93" s="49" t="s">
        <v>73</v>
      </c>
      <c r="B93" s="55">
        <v>31.069955806494523</v>
      </c>
      <c r="C93">
        <v>1485.85</v>
      </c>
    </row>
    <row r="94" spans="1:3" x14ac:dyDescent="0.25">
      <c r="A94" s="49" t="s">
        <v>74</v>
      </c>
      <c r="B94" s="55">
        <v>26.057462090981645</v>
      </c>
      <c r="C94">
        <v>1275.0999999999999</v>
      </c>
    </row>
    <row r="99" spans="1:3" x14ac:dyDescent="0.25">
      <c r="A99" s="48" t="s">
        <v>82</v>
      </c>
      <c r="B99" t="s">
        <v>60</v>
      </c>
      <c r="C99" t="s">
        <v>63</v>
      </c>
    </row>
    <row r="100" spans="1:3" x14ac:dyDescent="0.25">
      <c r="A100" s="49" t="s">
        <v>65</v>
      </c>
      <c r="B100">
        <v>11.989024496056091</v>
      </c>
      <c r="C100">
        <v>19.806448813088576</v>
      </c>
    </row>
    <row r="101" spans="1:3" x14ac:dyDescent="0.25">
      <c r="A101" s="49" t="s">
        <v>66</v>
      </c>
      <c r="B101">
        <v>13.247123303102624</v>
      </c>
      <c r="C101">
        <v>22.653220109283314</v>
      </c>
    </row>
    <row r="102" spans="1:3" x14ac:dyDescent="0.25">
      <c r="A102" s="49" t="s">
        <v>67</v>
      </c>
      <c r="B102">
        <v>16.125654563846247</v>
      </c>
      <c r="C102">
        <v>24.872168655976438</v>
      </c>
    </row>
    <row r="103" spans="1:3" x14ac:dyDescent="0.25">
      <c r="A103" s="49" t="s">
        <v>68</v>
      </c>
      <c r="B103">
        <v>23.821358012683785</v>
      </c>
      <c r="C103">
        <v>26.003135491695385</v>
      </c>
    </row>
    <row r="104" spans="1:3" x14ac:dyDescent="0.25">
      <c r="A104" s="49" t="s">
        <v>69</v>
      </c>
      <c r="B104">
        <v>22.146081681390154</v>
      </c>
      <c r="C104">
        <v>22.850994920029283</v>
      </c>
    </row>
    <row r="105" spans="1:3" x14ac:dyDescent="0.25">
      <c r="A105" s="49" t="s">
        <v>70</v>
      </c>
      <c r="B105">
        <v>36.467316998497374</v>
      </c>
      <c r="C105">
        <v>25.194614674774623</v>
      </c>
    </row>
    <row r="106" spans="1:3" x14ac:dyDescent="0.25">
      <c r="A106" s="49" t="s">
        <v>71</v>
      </c>
      <c r="B106">
        <v>41.835274275918536</v>
      </c>
      <c r="C106">
        <v>28.887344971839937</v>
      </c>
    </row>
    <row r="107" spans="1:3" x14ac:dyDescent="0.25">
      <c r="A107" s="49" t="s">
        <v>72</v>
      </c>
      <c r="B107">
        <v>32.73974734555329</v>
      </c>
      <c r="C107">
        <v>32.657857396239805</v>
      </c>
    </row>
    <row r="108" spans="1:3" x14ac:dyDescent="0.25">
      <c r="A108" s="49" t="s">
        <v>73</v>
      </c>
      <c r="B108">
        <v>47.822726535369391</v>
      </c>
      <c r="C108">
        <v>31.069955806494523</v>
      </c>
    </row>
    <row r="109" spans="1:3" x14ac:dyDescent="0.25">
      <c r="A109" s="49" t="s">
        <v>74</v>
      </c>
      <c r="B109">
        <v>48.934159264931083</v>
      </c>
      <c r="C109">
        <v>26.057462090981645</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010D-308C-4D36-8F99-7247F67D94F2}">
  <dimension ref="A1:E20"/>
  <sheetViews>
    <sheetView showGridLines="0" tabSelected="1" zoomScaleNormal="100" workbookViewId="0">
      <selection activeCell="P6" sqref="P6"/>
    </sheetView>
  </sheetViews>
  <sheetFormatPr defaultRowHeight="15" x14ac:dyDescent="0.25"/>
  <cols>
    <col min="1" max="1" width="17.85546875" bestFit="1" customWidth="1"/>
    <col min="2" max="2" width="19.140625" bestFit="1" customWidth="1"/>
    <col min="3" max="3" width="24.42578125" bestFit="1" customWidth="1"/>
    <col min="4" max="4" width="17" bestFit="1" customWidth="1"/>
    <col min="5" max="5" width="20.140625" bestFit="1" customWidth="1"/>
    <col min="6" max="6" width="17.5703125" bestFit="1" customWidth="1"/>
  </cols>
  <sheetData>
    <row r="1" spans="1:5" x14ac:dyDescent="0.25">
      <c r="A1" s="62" t="s">
        <v>92</v>
      </c>
      <c r="B1" s="63"/>
      <c r="C1" s="63"/>
      <c r="D1" s="63"/>
      <c r="E1" s="63"/>
    </row>
    <row r="2" spans="1:5" x14ac:dyDescent="0.25">
      <c r="A2" s="63"/>
      <c r="B2" s="63"/>
      <c r="C2" s="63"/>
      <c r="D2" s="63"/>
      <c r="E2" s="63"/>
    </row>
    <row r="3" spans="1:5" ht="18.75" x14ac:dyDescent="0.25">
      <c r="A3" s="58" t="s">
        <v>88</v>
      </c>
      <c r="B3" s="58" t="s">
        <v>90</v>
      </c>
      <c r="C3" s="58" t="s">
        <v>89</v>
      </c>
      <c r="D3" s="58" t="s">
        <v>91</v>
      </c>
      <c r="E3" s="58" t="s">
        <v>80</v>
      </c>
    </row>
    <row r="4" spans="1:5" ht="21" x14ac:dyDescent="0.25">
      <c r="A4" s="59">
        <v>3721074</v>
      </c>
      <c r="B4" s="59">
        <v>341545</v>
      </c>
      <c r="C4" s="60">
        <v>0.14289100404883107</v>
      </c>
      <c r="D4" s="61">
        <v>9.1786672342447362E-2</v>
      </c>
      <c r="E4" s="56">
        <v>0.85710899595116896</v>
      </c>
    </row>
    <row r="5" spans="1:5" ht="21" x14ac:dyDescent="0.25"/>
    <row r="6" spans="1:5" ht="21" x14ac:dyDescent="0.25"/>
    <row r="7" spans="1:5" ht="21" x14ac:dyDescent="0.25"/>
    <row r="8" spans="1:5" ht="21" x14ac:dyDescent="0.25"/>
    <row r="9" spans="1:5" ht="21" x14ac:dyDescent="0.25"/>
    <row r="10" spans="1:5" ht="21" x14ac:dyDescent="0.25"/>
    <row r="11" spans="1:5" ht="21" x14ac:dyDescent="0.25"/>
    <row r="12" spans="1:5" ht="21" x14ac:dyDescent="0.25"/>
    <row r="13" spans="1:5" ht="21" x14ac:dyDescent="0.25"/>
    <row r="14" spans="1:5" ht="21" x14ac:dyDescent="0.25"/>
    <row r="15" spans="1:5" ht="21" x14ac:dyDescent="0.25"/>
    <row r="16" spans="1:5" ht="21" x14ac:dyDescent="0.25"/>
    <row r="17" ht="21" x14ac:dyDescent="0.25"/>
    <row r="18" ht="21" x14ac:dyDescent="0.25"/>
    <row r="19" ht="21" x14ac:dyDescent="0.25"/>
    <row r="20" ht="21" x14ac:dyDescent="0.25"/>
  </sheetData>
  <mergeCells count="1">
    <mergeCell ref="A1:E2"/>
  </mergeCells>
  <conditionalFormatting pivot="1" sqref="E4">
    <cfRule type="iconSet" priority="2">
      <iconSet reverse="1">
        <cfvo type="percent" val="0"/>
        <cfvo type="percent" val="80"/>
        <cfvo type="percent" val="85"/>
      </iconSe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iconSet" priority="3" id="{0ACB1E7E-0189-4CE9-A1CD-A3E119C22019}">
            <x14:iconSet iconSet="3Triangles">
              <x14:cfvo type="percent">
                <xm:f>0</xm:f>
              </x14:cfvo>
              <x14:cfvo type="percent">
                <xm:f>12</xm:f>
              </x14:cfvo>
              <x14:cfvo type="percent">
                <xm:f>15</xm:f>
              </x14:cfvo>
            </x14:iconSet>
          </x14:cfRule>
          <xm:sqref>C4</xm:sqref>
        </x14:conditionalFormatting>
        <x14:conditionalFormatting xmlns:xm="http://schemas.microsoft.com/office/excel/2006/main" pivot="1">
          <x14:cfRule type="iconSet" priority="1" id="{FBB9ABD2-0A49-48C6-A63F-31B8AD65A270}">
            <x14:iconSet iconSet="3Triangles">
              <x14:cfvo type="percent">
                <xm:f>0</xm:f>
              </x14:cfvo>
              <x14:cfvo type="percent">
                <xm:f>0</xm:f>
              </x14:cfvo>
              <x14:cfvo type="percent">
                <xm:f>1</xm:f>
              </x14:cfvo>
            </x14:iconSet>
          </x14:cfRule>
          <xm:sqref>D4</xm:sqref>
        </x14:conditionalFormatting>
      </x14:conditionalFormattings>
    </ex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Normal="100" zoomScalePageLayoutView="120" workbookViewId="0">
      <selection activeCell="E1" sqref="E1:K1"/>
    </sheetView>
  </sheetViews>
  <sheetFormatPr defaultColWidth="8.85546875" defaultRowHeight="15" x14ac:dyDescent="0.25"/>
  <cols>
    <col min="1" max="1" width="27.7109375" style="4" bestFit="1" customWidth="1"/>
    <col min="2" max="11" width="13.42578125" style="4" bestFit="1" customWidth="1"/>
    <col min="12" max="16384" width="8.85546875" style="4"/>
  </cols>
  <sheetData>
    <row r="1" spans="1:11" s="1" customFormat="1" x14ac:dyDescent="0.25">
      <c r="A1" s="1" t="s">
        <v>24</v>
      </c>
      <c r="B1" s="1" t="s">
        <v>25</v>
      </c>
      <c r="E1" s="64" t="str">
        <f>IF(B2&lt;&gt;B3, "A NEW VERSION OF THE WORKSHEET IS AVAILABLE", "")</f>
        <v/>
      </c>
      <c r="F1" s="64"/>
      <c r="G1" s="64"/>
      <c r="H1" s="64"/>
      <c r="I1" s="64"/>
      <c r="J1" s="64"/>
      <c r="K1" s="64"/>
    </row>
    <row r="2" spans="1:11" x14ac:dyDescent="0.25">
      <c r="A2" s="1" t="s">
        <v>26</v>
      </c>
      <c r="B2" s="4">
        <v>2.1</v>
      </c>
      <c r="E2" s="65" t="s">
        <v>27</v>
      </c>
      <c r="F2" s="65"/>
      <c r="G2" s="65"/>
      <c r="H2" s="65"/>
      <c r="I2" s="65"/>
      <c r="J2" s="65"/>
      <c r="K2" s="65"/>
    </row>
    <row r="3" spans="1:11" x14ac:dyDescent="0.25">
      <c r="A3" s="1" t="s">
        <v>28</v>
      </c>
      <c r="B3" s="4">
        <v>2.1</v>
      </c>
    </row>
    <row r="4" spans="1:11" x14ac:dyDescent="0.25">
      <c r="A4" s="1"/>
    </row>
    <row r="5" spans="1:11" x14ac:dyDescent="0.25">
      <c r="A5" s="1" t="s">
        <v>29</v>
      </c>
    </row>
    <row r="6" spans="1:11" x14ac:dyDescent="0.25">
      <c r="A6" s="4" t="s">
        <v>30</v>
      </c>
      <c r="B6" s="4">
        <f>IF(B9&gt;0, B9/B8, 0)</f>
        <v>1353.2469011129679</v>
      </c>
    </row>
    <row r="7" spans="1:11" x14ac:dyDescent="0.25">
      <c r="A7" s="4" t="s">
        <v>31</v>
      </c>
      <c r="B7">
        <v>10</v>
      </c>
    </row>
    <row r="8" spans="1:11" x14ac:dyDescent="0.25">
      <c r="A8" s="4" t="s">
        <v>32</v>
      </c>
      <c r="B8">
        <v>1406.15</v>
      </c>
    </row>
    <row r="9" spans="1:11" x14ac:dyDescent="0.25">
      <c r="A9" s="4" t="s">
        <v>33</v>
      </c>
      <c r="B9">
        <v>1902868.13</v>
      </c>
    </row>
    <row r="15" spans="1:11" x14ac:dyDescent="0.25">
      <c r="A15" s="1" t="s">
        <v>34</v>
      </c>
    </row>
    <row r="16" spans="1:11" s="9" customFormat="1" x14ac:dyDescent="0.25">
      <c r="A16" s="8" t="s">
        <v>35</v>
      </c>
      <c r="B16" s="7">
        <v>42460</v>
      </c>
      <c r="C16" s="7">
        <v>42825</v>
      </c>
      <c r="D16" s="7">
        <v>43190</v>
      </c>
      <c r="E16" s="7">
        <v>43555</v>
      </c>
      <c r="F16" s="7">
        <v>43921</v>
      </c>
      <c r="G16" s="7">
        <v>44286</v>
      </c>
      <c r="H16" s="7">
        <v>44651</v>
      </c>
      <c r="I16" s="7">
        <v>45016</v>
      </c>
      <c r="J16" s="7">
        <v>45382</v>
      </c>
      <c r="K16" s="7">
        <v>45747</v>
      </c>
    </row>
    <row r="17" spans="1:11" s="6" customFormat="1" x14ac:dyDescent="0.25">
      <c r="A17" s="6" t="s">
        <v>0</v>
      </c>
      <c r="B17">
        <v>231743</v>
      </c>
      <c r="C17">
        <v>240597</v>
      </c>
      <c r="D17">
        <v>289188</v>
      </c>
      <c r="E17">
        <v>370744</v>
      </c>
      <c r="F17">
        <v>336097</v>
      </c>
      <c r="G17">
        <v>245050</v>
      </c>
      <c r="H17">
        <v>422413</v>
      </c>
      <c r="I17">
        <v>537909</v>
      </c>
      <c r="J17">
        <v>531908</v>
      </c>
      <c r="K17">
        <v>515425</v>
      </c>
    </row>
    <row r="18" spans="1:11" s="6" customFormat="1" x14ac:dyDescent="0.25">
      <c r="A18" s="4" t="s">
        <v>36</v>
      </c>
      <c r="B18">
        <v>157010</v>
      </c>
      <c r="C18">
        <v>169411</v>
      </c>
      <c r="D18">
        <v>205297</v>
      </c>
      <c r="E18">
        <v>273577</v>
      </c>
      <c r="F18">
        <v>244634</v>
      </c>
      <c r="G18">
        <v>175563</v>
      </c>
      <c r="H18">
        <v>331543</v>
      </c>
      <c r="I18">
        <v>409618</v>
      </c>
      <c r="J18">
        <v>389871</v>
      </c>
      <c r="K18">
        <v>399885</v>
      </c>
    </row>
    <row r="19" spans="1:11" s="6" customFormat="1" x14ac:dyDescent="0.25">
      <c r="A19" s="4" t="s">
        <v>37</v>
      </c>
      <c r="B19">
        <v>-4171</v>
      </c>
      <c r="C19">
        <v>4839</v>
      </c>
      <c r="D19">
        <v>3232</v>
      </c>
      <c r="E19">
        <v>3294</v>
      </c>
      <c r="F19">
        <v>-77</v>
      </c>
      <c r="G19">
        <v>-610</v>
      </c>
      <c r="H19">
        <v>7962</v>
      </c>
      <c r="I19">
        <v>5862</v>
      </c>
      <c r="J19">
        <v>-2700</v>
      </c>
      <c r="K19">
        <v>10679</v>
      </c>
    </row>
    <row r="20" spans="1:11" s="6" customFormat="1" x14ac:dyDescent="0.25">
      <c r="A20" s="4" t="s">
        <v>38</v>
      </c>
      <c r="B20">
        <v>9809</v>
      </c>
      <c r="C20">
        <v>10150</v>
      </c>
      <c r="D20">
        <v>13565</v>
      </c>
      <c r="E20">
        <v>15723</v>
      </c>
      <c r="F20">
        <v>13759</v>
      </c>
      <c r="G20">
        <v>12424</v>
      </c>
      <c r="H20">
        <v>17117</v>
      </c>
      <c r="I20">
        <v>23593</v>
      </c>
      <c r="J20">
        <v>20358</v>
      </c>
      <c r="K20">
        <v>21956</v>
      </c>
    </row>
    <row r="21" spans="1:11" s="6" customFormat="1" x14ac:dyDescent="0.25">
      <c r="A21" s="4" t="s">
        <v>39</v>
      </c>
      <c r="B21">
        <v>7835</v>
      </c>
      <c r="C21">
        <v>8415</v>
      </c>
      <c r="D21">
        <v>8508</v>
      </c>
      <c r="E21">
        <v>9627</v>
      </c>
      <c r="F21">
        <v>8177</v>
      </c>
      <c r="G21">
        <v>6263</v>
      </c>
      <c r="H21">
        <v>10395</v>
      </c>
      <c r="I21">
        <v>21204</v>
      </c>
      <c r="J21">
        <v>19818</v>
      </c>
      <c r="K21">
        <v>21820</v>
      </c>
    </row>
    <row r="22" spans="1:11" s="6" customFormat="1" x14ac:dyDescent="0.25">
      <c r="A22" s="4" t="s">
        <v>40</v>
      </c>
      <c r="B22">
        <v>4262</v>
      </c>
      <c r="C22">
        <v>4434</v>
      </c>
      <c r="D22">
        <v>4740</v>
      </c>
      <c r="E22">
        <v>5834</v>
      </c>
      <c r="F22">
        <v>6067</v>
      </c>
      <c r="G22">
        <v>5024</v>
      </c>
      <c r="H22">
        <v>5426</v>
      </c>
      <c r="I22">
        <v>6265</v>
      </c>
      <c r="J22">
        <v>7807</v>
      </c>
      <c r="K22">
        <v>8690</v>
      </c>
    </row>
    <row r="23" spans="1:11" s="6" customFormat="1" x14ac:dyDescent="0.25">
      <c r="A23" s="4" t="s">
        <v>41</v>
      </c>
      <c r="B23">
        <v>12518</v>
      </c>
      <c r="C23">
        <v>12436</v>
      </c>
      <c r="D23">
        <v>10708</v>
      </c>
      <c r="E23">
        <v>12769</v>
      </c>
      <c r="F23">
        <v>11582</v>
      </c>
      <c r="G23">
        <v>11154</v>
      </c>
      <c r="H23">
        <v>13471</v>
      </c>
      <c r="I23">
        <v>17227</v>
      </c>
      <c r="J23">
        <v>19011</v>
      </c>
      <c r="K23">
        <v>18915</v>
      </c>
    </row>
    <row r="24" spans="1:11" s="6" customFormat="1" x14ac:dyDescent="0.25">
      <c r="A24" s="4" t="s">
        <v>42</v>
      </c>
      <c r="B24">
        <v>-3246</v>
      </c>
      <c r="C24">
        <v>-2735</v>
      </c>
      <c r="D24">
        <v>-2156</v>
      </c>
      <c r="E24">
        <v>-2383</v>
      </c>
      <c r="F24">
        <v>-1223</v>
      </c>
      <c r="G24">
        <v>504</v>
      </c>
      <c r="H24">
        <v>17</v>
      </c>
      <c r="I24">
        <v>-995</v>
      </c>
      <c r="J24">
        <v>-2077</v>
      </c>
      <c r="K24">
        <v>-3295</v>
      </c>
    </row>
    <row r="25" spans="1:11" s="6" customFormat="1" x14ac:dyDescent="0.25">
      <c r="A25" s="6" t="s">
        <v>3</v>
      </c>
      <c r="B25">
        <v>7784</v>
      </c>
      <c r="C25">
        <v>8640</v>
      </c>
      <c r="D25">
        <v>8203</v>
      </c>
      <c r="E25">
        <v>8785</v>
      </c>
      <c r="F25">
        <v>9125</v>
      </c>
      <c r="G25">
        <v>19114</v>
      </c>
      <c r="H25">
        <v>13779</v>
      </c>
      <c r="I25">
        <v>12247</v>
      </c>
      <c r="J25">
        <v>11973</v>
      </c>
      <c r="K25">
        <v>16030</v>
      </c>
    </row>
    <row r="26" spans="1:11" s="6" customFormat="1" x14ac:dyDescent="0.25">
      <c r="A26" s="6" t="s">
        <v>4</v>
      </c>
      <c r="B26">
        <v>8590</v>
      </c>
      <c r="C26">
        <v>8465</v>
      </c>
      <c r="D26">
        <v>9580</v>
      </c>
      <c r="E26">
        <v>10558</v>
      </c>
      <c r="F26">
        <v>9728</v>
      </c>
      <c r="G26">
        <v>9199</v>
      </c>
      <c r="H26">
        <v>10276</v>
      </c>
      <c r="I26">
        <v>11167</v>
      </c>
      <c r="J26">
        <v>17690</v>
      </c>
      <c r="K26">
        <v>17981</v>
      </c>
    </row>
    <row r="27" spans="1:11" s="6" customFormat="1" x14ac:dyDescent="0.25">
      <c r="A27" s="6" t="s">
        <v>5</v>
      </c>
      <c r="B27">
        <v>2562</v>
      </c>
      <c r="C27">
        <v>2723</v>
      </c>
      <c r="D27">
        <v>4656</v>
      </c>
      <c r="E27">
        <v>9751</v>
      </c>
      <c r="F27">
        <v>12105</v>
      </c>
      <c r="G27">
        <v>16211</v>
      </c>
      <c r="H27">
        <v>9123</v>
      </c>
      <c r="I27">
        <v>12633</v>
      </c>
      <c r="J27">
        <v>13430</v>
      </c>
      <c r="K27">
        <v>10054</v>
      </c>
    </row>
    <row r="28" spans="1:11" s="6" customFormat="1" x14ac:dyDescent="0.25">
      <c r="A28" s="6" t="s">
        <v>6</v>
      </c>
      <c r="B28">
        <v>36016</v>
      </c>
      <c r="C28">
        <v>40777</v>
      </c>
      <c r="D28">
        <v>45725</v>
      </c>
      <c r="E28">
        <v>47367</v>
      </c>
      <c r="F28">
        <v>40316</v>
      </c>
      <c r="G28">
        <v>27212</v>
      </c>
      <c r="H28">
        <v>46786</v>
      </c>
      <c r="I28">
        <v>55306</v>
      </c>
      <c r="J28">
        <v>55273</v>
      </c>
      <c r="K28">
        <v>46128</v>
      </c>
    </row>
    <row r="29" spans="1:11" s="6" customFormat="1" x14ac:dyDescent="0.25">
      <c r="A29" s="6" t="s">
        <v>7</v>
      </c>
      <c r="B29">
        <v>8632</v>
      </c>
      <c r="C29">
        <v>9352</v>
      </c>
      <c r="D29">
        <v>12113</v>
      </c>
      <c r="E29">
        <v>12204</v>
      </c>
      <c r="F29">
        <v>9413</v>
      </c>
      <c r="G29">
        <v>-4732</v>
      </c>
      <c r="H29">
        <v>7702</v>
      </c>
      <c r="I29">
        <v>11116</v>
      </c>
      <c r="J29">
        <v>13231</v>
      </c>
      <c r="K29">
        <v>10866</v>
      </c>
    </row>
    <row r="30" spans="1:11" s="6" customFormat="1" x14ac:dyDescent="0.25">
      <c r="A30" s="6" t="s">
        <v>8</v>
      </c>
      <c r="B30">
        <v>27384</v>
      </c>
      <c r="C30">
        <v>31425</v>
      </c>
      <c r="D30">
        <v>33612</v>
      </c>
      <c r="E30">
        <v>35163</v>
      </c>
      <c r="F30">
        <v>30903</v>
      </c>
      <c r="G30">
        <v>31944</v>
      </c>
      <c r="H30">
        <v>39084</v>
      </c>
      <c r="I30">
        <v>44190</v>
      </c>
      <c r="J30">
        <v>42042</v>
      </c>
      <c r="K30">
        <v>35262</v>
      </c>
    </row>
    <row r="31" spans="1:11" s="6" customFormat="1" x14ac:dyDescent="0.25">
      <c r="A31" s="6" t="s">
        <v>43</v>
      </c>
      <c r="B31">
        <v>3402</v>
      </c>
      <c r="C31">
        <v>3576.1</v>
      </c>
      <c r="D31">
        <v>3801</v>
      </c>
      <c r="E31">
        <v>4120.3500000000004</v>
      </c>
      <c r="F31">
        <v>4120.3500000000004</v>
      </c>
      <c r="G31">
        <v>4511.5</v>
      </c>
      <c r="H31">
        <v>5412</v>
      </c>
      <c r="I31">
        <v>6089.4</v>
      </c>
      <c r="J31">
        <v>6766</v>
      </c>
      <c r="K31">
        <v>7442.6</v>
      </c>
    </row>
    <row r="32" spans="1:11" s="6" customFormat="1" x14ac:dyDescent="0.25"/>
    <row r="33" spans="1:11" x14ac:dyDescent="0.25">
      <c r="A33" s="6"/>
    </row>
    <row r="34" spans="1:11" x14ac:dyDescent="0.25">
      <c r="A34" s="6"/>
    </row>
    <row r="35" spans="1:11" x14ac:dyDescent="0.25">
      <c r="A35" s="6"/>
    </row>
    <row r="36" spans="1:11" x14ac:dyDescent="0.25">
      <c r="A36" s="6"/>
    </row>
    <row r="37" spans="1:11" x14ac:dyDescent="0.25">
      <c r="A37" s="6"/>
    </row>
    <row r="38" spans="1:11" x14ac:dyDescent="0.25">
      <c r="A38" s="6"/>
    </row>
    <row r="39" spans="1:11" x14ac:dyDescent="0.25">
      <c r="A39" s="6"/>
    </row>
    <row r="40" spans="1:11" x14ac:dyDescent="0.25">
      <c r="A40" s="1" t="s">
        <v>44</v>
      </c>
    </row>
    <row r="41" spans="1:11" s="9" customFormat="1" x14ac:dyDescent="0.25">
      <c r="A41" s="8" t="s">
        <v>35</v>
      </c>
      <c r="B41" s="7">
        <v>45199</v>
      </c>
      <c r="C41" s="7">
        <v>45291</v>
      </c>
      <c r="D41" s="7">
        <v>45382</v>
      </c>
      <c r="E41" s="7">
        <v>45473</v>
      </c>
      <c r="F41" s="7">
        <v>45565</v>
      </c>
      <c r="G41" s="7">
        <v>45657</v>
      </c>
      <c r="H41" s="7">
        <v>45747</v>
      </c>
      <c r="I41" s="7">
        <v>45838</v>
      </c>
      <c r="J41" s="7">
        <v>45930</v>
      </c>
      <c r="K41" s="7">
        <v>46022</v>
      </c>
    </row>
    <row r="42" spans="1:11" s="6" customFormat="1" x14ac:dyDescent="0.25">
      <c r="A42" s="6" t="s">
        <v>0</v>
      </c>
      <c r="B42">
        <v>137380</v>
      </c>
      <c r="C42">
        <v>127695</v>
      </c>
      <c r="D42">
        <v>146832</v>
      </c>
      <c r="E42">
        <v>129898</v>
      </c>
      <c r="F42">
        <v>130108</v>
      </c>
      <c r="G42">
        <v>124381</v>
      </c>
      <c r="H42">
        <v>132962</v>
      </c>
      <c r="I42">
        <v>116341</v>
      </c>
      <c r="J42">
        <v>126335</v>
      </c>
      <c r="K42">
        <v>121150</v>
      </c>
    </row>
    <row r="43" spans="1:11" s="6" customFormat="1" x14ac:dyDescent="0.25">
      <c r="A43" s="6" t="s">
        <v>1</v>
      </c>
      <c r="B43">
        <v>118189</v>
      </c>
      <c r="C43">
        <v>110137</v>
      </c>
      <c r="D43">
        <v>126809</v>
      </c>
      <c r="E43">
        <v>115583</v>
      </c>
      <c r="F43">
        <v>116683</v>
      </c>
      <c r="G43">
        <v>109168</v>
      </c>
      <c r="H43">
        <v>117846</v>
      </c>
      <c r="I43">
        <v>103171</v>
      </c>
      <c r="J43">
        <v>111946</v>
      </c>
      <c r="K43">
        <v>106260</v>
      </c>
    </row>
    <row r="44" spans="1:11" s="6" customFormat="1" x14ac:dyDescent="0.25">
      <c r="A44" s="6" t="s">
        <v>3</v>
      </c>
      <c r="B44">
        <v>2934</v>
      </c>
      <c r="C44">
        <v>2969</v>
      </c>
      <c r="D44">
        <v>3497</v>
      </c>
      <c r="E44">
        <v>3502</v>
      </c>
      <c r="F44">
        <v>3801</v>
      </c>
      <c r="G44">
        <v>3214</v>
      </c>
      <c r="H44">
        <v>5577</v>
      </c>
      <c r="I44">
        <v>13460</v>
      </c>
      <c r="J44">
        <v>3445</v>
      </c>
      <c r="K44">
        <v>3412</v>
      </c>
    </row>
    <row r="45" spans="1:11" s="6" customFormat="1" x14ac:dyDescent="0.25">
      <c r="A45" s="6" t="s">
        <v>4</v>
      </c>
      <c r="B45">
        <v>4384</v>
      </c>
      <c r="C45">
        <v>4567</v>
      </c>
      <c r="D45">
        <v>4856</v>
      </c>
      <c r="E45">
        <v>4708</v>
      </c>
      <c r="F45">
        <v>4350</v>
      </c>
      <c r="G45">
        <v>4459</v>
      </c>
      <c r="H45">
        <v>4464</v>
      </c>
      <c r="I45">
        <v>4130</v>
      </c>
      <c r="J45">
        <v>4472</v>
      </c>
      <c r="K45">
        <v>4434</v>
      </c>
    </row>
    <row r="46" spans="1:11" s="6" customFormat="1" x14ac:dyDescent="0.25">
      <c r="A46" s="6" t="s">
        <v>5</v>
      </c>
      <c r="B46">
        <v>3239</v>
      </c>
      <c r="C46">
        <v>2982</v>
      </c>
      <c r="D46">
        <v>3613</v>
      </c>
      <c r="E46">
        <v>2963</v>
      </c>
      <c r="F46">
        <v>2662</v>
      </c>
      <c r="G46">
        <v>2371</v>
      </c>
      <c r="H46">
        <v>2058</v>
      </c>
      <c r="I46">
        <v>2194</v>
      </c>
      <c r="J46">
        <v>1770</v>
      </c>
      <c r="K46">
        <v>1473</v>
      </c>
    </row>
    <row r="47" spans="1:11" s="6" customFormat="1" x14ac:dyDescent="0.25">
      <c r="A47" s="6" t="s">
        <v>6</v>
      </c>
      <c r="B47">
        <v>14502</v>
      </c>
      <c r="C47">
        <v>12978</v>
      </c>
      <c r="D47">
        <v>15051</v>
      </c>
      <c r="E47">
        <v>10146</v>
      </c>
      <c r="F47">
        <v>10214</v>
      </c>
      <c r="G47">
        <v>11597</v>
      </c>
      <c r="H47">
        <v>14171</v>
      </c>
      <c r="I47">
        <v>20306</v>
      </c>
      <c r="J47">
        <v>11592</v>
      </c>
      <c r="K47">
        <v>12395</v>
      </c>
    </row>
    <row r="48" spans="1:11" s="6" customFormat="1" x14ac:dyDescent="0.25">
      <c r="A48" s="6" t="s">
        <v>7</v>
      </c>
      <c r="B48">
        <v>3294</v>
      </c>
      <c r="C48">
        <v>3054</v>
      </c>
      <c r="D48">
        <v>3768</v>
      </c>
      <c r="E48">
        <v>2535</v>
      </c>
      <c r="F48">
        <v>2501</v>
      </c>
      <c r="G48">
        <v>2876</v>
      </c>
      <c r="H48">
        <v>2954</v>
      </c>
      <c r="I48">
        <v>2402</v>
      </c>
      <c r="J48">
        <v>2463</v>
      </c>
      <c r="K48">
        <v>2999</v>
      </c>
    </row>
    <row r="49" spans="1:11" s="6" customFormat="1" x14ac:dyDescent="0.25">
      <c r="A49" s="6" t="s">
        <v>8</v>
      </c>
      <c r="B49">
        <v>11208</v>
      </c>
      <c r="C49">
        <v>9924</v>
      </c>
      <c r="D49">
        <v>11283</v>
      </c>
      <c r="E49">
        <v>7611</v>
      </c>
      <c r="F49">
        <v>7713</v>
      </c>
      <c r="G49">
        <v>8721</v>
      </c>
      <c r="H49">
        <v>11217</v>
      </c>
      <c r="I49">
        <v>17904</v>
      </c>
      <c r="J49">
        <v>9129</v>
      </c>
      <c r="K49">
        <v>9396</v>
      </c>
    </row>
    <row r="50" spans="1:11" x14ac:dyDescent="0.25">
      <c r="A50" s="6" t="s">
        <v>2</v>
      </c>
      <c r="B50">
        <v>19191</v>
      </c>
      <c r="C50">
        <v>17558</v>
      </c>
      <c r="D50">
        <v>20023</v>
      </c>
      <c r="E50">
        <v>14315</v>
      </c>
      <c r="F50">
        <v>13425</v>
      </c>
      <c r="G50">
        <v>15213</v>
      </c>
      <c r="H50">
        <v>15116</v>
      </c>
      <c r="I50">
        <v>13170</v>
      </c>
      <c r="J50">
        <v>14389</v>
      </c>
      <c r="K50">
        <v>14890</v>
      </c>
    </row>
    <row r="51" spans="1:11" x14ac:dyDescent="0.25">
      <c r="A51" s="6"/>
    </row>
    <row r="52" spans="1:11" x14ac:dyDescent="0.25">
      <c r="A52" s="6"/>
    </row>
    <row r="53" spans="1:11" x14ac:dyDescent="0.25">
      <c r="A53" s="6"/>
    </row>
    <row r="54" spans="1:11" x14ac:dyDescent="0.25">
      <c r="A54" s="6"/>
    </row>
    <row r="55" spans="1:11" x14ac:dyDescent="0.25">
      <c r="A55" s="1" t="s">
        <v>45</v>
      </c>
    </row>
    <row r="56" spans="1:11" s="9" customFormat="1" x14ac:dyDescent="0.25">
      <c r="A56" s="8" t="s">
        <v>35</v>
      </c>
      <c r="B56" s="7">
        <v>42460</v>
      </c>
      <c r="C56" s="7">
        <v>42825</v>
      </c>
      <c r="D56" s="7">
        <v>43190</v>
      </c>
      <c r="E56" s="7">
        <v>43555</v>
      </c>
      <c r="F56" s="7">
        <v>43921</v>
      </c>
      <c r="G56" s="7">
        <v>44286</v>
      </c>
      <c r="H56" s="7">
        <v>44651</v>
      </c>
      <c r="I56" s="7">
        <v>45016</v>
      </c>
      <c r="J56" s="7">
        <v>45382</v>
      </c>
      <c r="K56" s="7">
        <v>45747</v>
      </c>
    </row>
    <row r="57" spans="1:11" x14ac:dyDescent="0.25">
      <c r="A57" s="6" t="s">
        <v>10</v>
      </c>
      <c r="B57">
        <v>3240</v>
      </c>
      <c r="C57">
        <v>3251</v>
      </c>
      <c r="D57">
        <v>6335</v>
      </c>
      <c r="E57">
        <v>6339</v>
      </c>
      <c r="F57">
        <v>6339</v>
      </c>
      <c r="G57">
        <v>6445</v>
      </c>
      <c r="H57">
        <v>6765</v>
      </c>
      <c r="I57">
        <v>6766</v>
      </c>
      <c r="J57">
        <v>6766</v>
      </c>
      <c r="K57">
        <v>13532</v>
      </c>
    </row>
    <row r="58" spans="1:11" x14ac:dyDescent="0.25">
      <c r="A58" s="6" t="s">
        <v>11</v>
      </c>
      <c r="B58">
        <v>250758</v>
      </c>
      <c r="C58">
        <v>285062</v>
      </c>
      <c r="D58">
        <v>308312</v>
      </c>
      <c r="E58">
        <v>398983</v>
      </c>
      <c r="F58">
        <v>384876</v>
      </c>
      <c r="G58">
        <v>468038</v>
      </c>
      <c r="H58">
        <v>464762</v>
      </c>
      <c r="I58">
        <v>472312</v>
      </c>
      <c r="J58">
        <v>508330</v>
      </c>
      <c r="K58">
        <v>529555</v>
      </c>
    </row>
    <row r="59" spans="1:11" x14ac:dyDescent="0.25">
      <c r="A59" s="6" t="s">
        <v>12</v>
      </c>
      <c r="B59">
        <v>107104</v>
      </c>
      <c r="C59">
        <v>107446</v>
      </c>
      <c r="D59">
        <v>116881</v>
      </c>
      <c r="E59">
        <v>161720</v>
      </c>
      <c r="F59">
        <v>298599</v>
      </c>
      <c r="G59">
        <v>224683</v>
      </c>
      <c r="H59">
        <v>197439</v>
      </c>
      <c r="I59">
        <v>218706</v>
      </c>
      <c r="J59">
        <v>214575</v>
      </c>
      <c r="K59">
        <v>201505</v>
      </c>
    </row>
    <row r="60" spans="1:11" x14ac:dyDescent="0.25">
      <c r="A60" s="6" t="s">
        <v>13</v>
      </c>
      <c r="B60">
        <v>120572</v>
      </c>
      <c r="C60">
        <v>150987</v>
      </c>
      <c r="D60">
        <v>185997</v>
      </c>
      <c r="E60">
        <v>208703</v>
      </c>
      <c r="F60">
        <v>281885</v>
      </c>
      <c r="G60">
        <v>174507</v>
      </c>
      <c r="H60">
        <v>209708</v>
      </c>
      <c r="I60">
        <v>224876</v>
      </c>
      <c r="J60">
        <v>229972</v>
      </c>
      <c r="K60">
        <v>277809</v>
      </c>
    </row>
    <row r="61" spans="1:11" s="1" customFormat="1" x14ac:dyDescent="0.25">
      <c r="A61" s="1" t="s">
        <v>14</v>
      </c>
      <c r="B61">
        <v>481674</v>
      </c>
      <c r="C61">
        <v>546746</v>
      </c>
      <c r="D61">
        <v>617525</v>
      </c>
      <c r="E61">
        <v>775745</v>
      </c>
      <c r="F61">
        <v>971699</v>
      </c>
      <c r="G61">
        <v>873673</v>
      </c>
      <c r="H61">
        <v>878674</v>
      </c>
      <c r="I61">
        <v>922660</v>
      </c>
      <c r="J61">
        <v>959643</v>
      </c>
      <c r="K61">
        <v>1022401</v>
      </c>
    </row>
    <row r="62" spans="1:11" x14ac:dyDescent="0.25">
      <c r="A62" s="6" t="s">
        <v>15</v>
      </c>
      <c r="B62">
        <v>147543</v>
      </c>
      <c r="C62">
        <v>154578</v>
      </c>
      <c r="D62">
        <v>200964</v>
      </c>
      <c r="E62">
        <v>203188</v>
      </c>
      <c r="F62">
        <v>306478</v>
      </c>
      <c r="G62">
        <v>306833</v>
      </c>
      <c r="H62">
        <v>239626</v>
      </c>
      <c r="I62">
        <v>282301</v>
      </c>
      <c r="J62">
        <v>299630</v>
      </c>
      <c r="K62">
        <v>311047</v>
      </c>
    </row>
    <row r="63" spans="1:11" x14ac:dyDescent="0.25">
      <c r="A63" s="6" t="s">
        <v>16</v>
      </c>
      <c r="B63">
        <v>110905</v>
      </c>
      <c r="C63">
        <v>132741</v>
      </c>
      <c r="D63">
        <v>99483</v>
      </c>
      <c r="E63">
        <v>111557</v>
      </c>
      <c r="F63">
        <v>27965</v>
      </c>
      <c r="G63">
        <v>32835</v>
      </c>
      <c r="H63">
        <v>34662</v>
      </c>
      <c r="I63">
        <v>54357</v>
      </c>
      <c r="J63">
        <v>61632</v>
      </c>
      <c r="K63">
        <v>82417</v>
      </c>
    </row>
    <row r="64" spans="1:11" x14ac:dyDescent="0.25">
      <c r="A64" s="6" t="s">
        <v>17</v>
      </c>
      <c r="B64">
        <v>157250</v>
      </c>
      <c r="C64">
        <v>192450</v>
      </c>
      <c r="D64">
        <v>225222</v>
      </c>
      <c r="E64">
        <v>331683</v>
      </c>
      <c r="F64">
        <v>491823</v>
      </c>
      <c r="G64">
        <v>347285</v>
      </c>
      <c r="H64">
        <v>408797</v>
      </c>
      <c r="I64">
        <v>351141</v>
      </c>
      <c r="J64">
        <v>370063</v>
      </c>
      <c r="K64">
        <v>390360</v>
      </c>
    </row>
    <row r="65" spans="1:11" x14ac:dyDescent="0.25">
      <c r="A65" s="6" t="s">
        <v>18</v>
      </c>
      <c r="B65">
        <v>65976</v>
      </c>
      <c r="C65">
        <v>66977</v>
      </c>
      <c r="D65">
        <v>91856</v>
      </c>
      <c r="E65">
        <v>129317</v>
      </c>
      <c r="F65">
        <v>145433</v>
      </c>
      <c r="G65">
        <v>186720</v>
      </c>
      <c r="H65">
        <v>195589</v>
      </c>
      <c r="I65">
        <v>234861</v>
      </c>
      <c r="J65">
        <v>228318</v>
      </c>
      <c r="K65">
        <v>238577</v>
      </c>
    </row>
    <row r="66" spans="1:11" s="1" customFormat="1" x14ac:dyDescent="0.25">
      <c r="A66" s="1" t="s">
        <v>14</v>
      </c>
      <c r="B66">
        <v>481674</v>
      </c>
      <c r="C66">
        <v>546746</v>
      </c>
      <c r="D66">
        <v>617525</v>
      </c>
      <c r="E66">
        <v>775745</v>
      </c>
      <c r="F66">
        <v>971699</v>
      </c>
      <c r="G66">
        <v>873673</v>
      </c>
      <c r="H66">
        <v>878674</v>
      </c>
      <c r="I66">
        <v>922660</v>
      </c>
      <c r="J66">
        <v>959643</v>
      </c>
      <c r="K66">
        <v>1022401</v>
      </c>
    </row>
    <row r="67" spans="1:11" s="6" customFormat="1" x14ac:dyDescent="0.25">
      <c r="A67" s="6" t="s">
        <v>46</v>
      </c>
      <c r="B67">
        <v>3495</v>
      </c>
      <c r="C67">
        <v>5472</v>
      </c>
      <c r="D67">
        <v>10460</v>
      </c>
      <c r="E67">
        <v>12110</v>
      </c>
      <c r="F67">
        <v>7483</v>
      </c>
      <c r="G67">
        <v>4159</v>
      </c>
      <c r="H67">
        <v>14394</v>
      </c>
      <c r="I67">
        <v>24143</v>
      </c>
      <c r="J67">
        <v>14740</v>
      </c>
      <c r="K67">
        <v>15591</v>
      </c>
    </row>
    <row r="68" spans="1:11" x14ac:dyDescent="0.25">
      <c r="A68" s="6" t="s">
        <v>19</v>
      </c>
      <c r="B68">
        <v>28034</v>
      </c>
      <c r="C68">
        <v>34018</v>
      </c>
      <c r="D68">
        <v>39568</v>
      </c>
      <c r="E68">
        <v>44144</v>
      </c>
      <c r="F68">
        <v>38802</v>
      </c>
      <c r="G68">
        <v>37437</v>
      </c>
      <c r="H68">
        <v>45923</v>
      </c>
      <c r="I68">
        <v>84756</v>
      </c>
      <c r="J68">
        <v>85100</v>
      </c>
      <c r="K68">
        <v>89216</v>
      </c>
    </row>
    <row r="69" spans="1:11" x14ac:dyDescent="0.25">
      <c r="A69" s="4" t="s">
        <v>47</v>
      </c>
      <c r="B69">
        <v>6892</v>
      </c>
      <c r="C69">
        <v>1754</v>
      </c>
      <c r="D69">
        <v>2731</v>
      </c>
      <c r="E69">
        <v>3768</v>
      </c>
      <c r="F69">
        <v>8485</v>
      </c>
      <c r="G69">
        <v>5573</v>
      </c>
      <c r="H69">
        <v>21714</v>
      </c>
      <c r="I69">
        <v>61007</v>
      </c>
      <c r="J69">
        <v>69248</v>
      </c>
      <c r="K69">
        <v>82471</v>
      </c>
    </row>
    <row r="70" spans="1:11" x14ac:dyDescent="0.25">
      <c r="A70" s="4" t="s">
        <v>48</v>
      </c>
      <c r="B70">
        <v>3240376321</v>
      </c>
      <c r="C70">
        <v>3251278100</v>
      </c>
      <c r="D70">
        <v>6334651022</v>
      </c>
      <c r="E70">
        <v>6338693823</v>
      </c>
      <c r="F70">
        <v>6338693823</v>
      </c>
      <c r="G70">
        <v>6762068814</v>
      </c>
      <c r="H70">
        <v>6765994014</v>
      </c>
      <c r="I70">
        <v>6766094014</v>
      </c>
      <c r="J70">
        <v>6766094014</v>
      </c>
      <c r="K70">
        <v>13532515463</v>
      </c>
    </row>
    <row r="71" spans="1:11" x14ac:dyDescent="0.25">
      <c r="A71" s="4" t="s">
        <v>49</v>
      </c>
      <c r="D71">
        <v>3080334238</v>
      </c>
      <c r="E71">
        <v>3080334238</v>
      </c>
      <c r="F71">
        <v>3080334238</v>
      </c>
      <c r="K71">
        <v>6766186449</v>
      </c>
    </row>
    <row r="72" spans="1:11" x14ac:dyDescent="0.25">
      <c r="A72" s="4" t="s">
        <v>50</v>
      </c>
      <c r="B72">
        <v>10</v>
      </c>
      <c r="C72">
        <v>10</v>
      </c>
      <c r="D72">
        <v>10</v>
      </c>
      <c r="E72">
        <v>10</v>
      </c>
      <c r="F72">
        <v>10</v>
      </c>
      <c r="G72">
        <v>10</v>
      </c>
      <c r="H72">
        <v>10</v>
      </c>
      <c r="I72">
        <v>10</v>
      </c>
      <c r="J72">
        <v>10</v>
      </c>
      <c r="K72">
        <v>10</v>
      </c>
    </row>
    <row r="74" spans="1:11" x14ac:dyDescent="0.25">
      <c r="A74" s="6"/>
    </row>
    <row r="75" spans="1:11" x14ac:dyDescent="0.25">
      <c r="A75" s="6"/>
    </row>
    <row r="76" spans="1:11" x14ac:dyDescent="0.25">
      <c r="A76" s="6"/>
    </row>
    <row r="77" spans="1:11" x14ac:dyDescent="0.25">
      <c r="A77" s="6"/>
    </row>
    <row r="78" spans="1:11" x14ac:dyDescent="0.25">
      <c r="A78" s="6"/>
    </row>
    <row r="79" spans="1:11" x14ac:dyDescent="0.25">
      <c r="A79" s="6"/>
    </row>
    <row r="80" spans="1:11" x14ac:dyDescent="0.25">
      <c r="A80" s="1" t="s">
        <v>51</v>
      </c>
    </row>
    <row r="81" spans="1:11" s="9" customFormat="1" x14ac:dyDescent="0.25">
      <c r="A81" s="8" t="s">
        <v>35</v>
      </c>
      <c r="B81" s="7">
        <v>42460</v>
      </c>
      <c r="C81" s="7">
        <v>42825</v>
      </c>
      <c r="D81" s="7">
        <v>43190</v>
      </c>
      <c r="E81" s="7">
        <v>43555</v>
      </c>
      <c r="F81" s="7">
        <v>43921</v>
      </c>
      <c r="G81" s="7">
        <v>44286</v>
      </c>
      <c r="H81" s="7">
        <v>44651</v>
      </c>
      <c r="I81" s="7">
        <v>45016</v>
      </c>
      <c r="J81" s="7">
        <v>45382</v>
      </c>
      <c r="K81" s="7">
        <v>45747</v>
      </c>
    </row>
    <row r="82" spans="1:11" s="1" customFormat="1" x14ac:dyDescent="0.25">
      <c r="A82" s="6" t="s">
        <v>20</v>
      </c>
      <c r="B82">
        <v>43447</v>
      </c>
      <c r="C82">
        <v>51450</v>
      </c>
      <c r="D82">
        <v>62000</v>
      </c>
      <c r="E82">
        <v>29191</v>
      </c>
      <c r="F82">
        <v>77533</v>
      </c>
      <c r="G82">
        <v>-512</v>
      </c>
      <c r="H82">
        <v>67491</v>
      </c>
      <c r="I82">
        <v>55340</v>
      </c>
      <c r="J82">
        <v>73998</v>
      </c>
      <c r="K82">
        <v>79392</v>
      </c>
    </row>
    <row r="83" spans="1:11" s="6" customFormat="1" x14ac:dyDescent="0.25">
      <c r="A83" s="6" t="s">
        <v>21</v>
      </c>
      <c r="B83">
        <v>-41223</v>
      </c>
      <c r="C83">
        <v>-54949</v>
      </c>
      <c r="D83">
        <v>-59109</v>
      </c>
      <c r="E83">
        <v>-53949</v>
      </c>
      <c r="F83">
        <v>-143583</v>
      </c>
      <c r="G83">
        <v>74257</v>
      </c>
      <c r="H83">
        <v>-45315</v>
      </c>
      <c r="I83">
        <v>-8678</v>
      </c>
      <c r="J83">
        <v>-38292</v>
      </c>
      <c r="K83">
        <v>-28106</v>
      </c>
    </row>
    <row r="84" spans="1:11" s="6" customFormat="1" x14ac:dyDescent="0.25">
      <c r="A84" s="6" t="s">
        <v>22</v>
      </c>
      <c r="B84">
        <v>-6903</v>
      </c>
      <c r="C84">
        <v>-1639</v>
      </c>
      <c r="D84">
        <v>-1914</v>
      </c>
      <c r="E84">
        <v>25795</v>
      </c>
      <c r="F84">
        <v>70767</v>
      </c>
      <c r="G84">
        <v>-76657</v>
      </c>
      <c r="H84">
        <v>-6035</v>
      </c>
      <c r="I84">
        <v>-7369</v>
      </c>
      <c r="J84">
        <v>-27465</v>
      </c>
      <c r="K84">
        <v>-38063</v>
      </c>
    </row>
    <row r="85" spans="1:11" s="1" customFormat="1" x14ac:dyDescent="0.25">
      <c r="A85" s="6" t="s">
        <v>23</v>
      </c>
      <c r="B85">
        <v>-4679</v>
      </c>
      <c r="C85">
        <v>-5138</v>
      </c>
      <c r="D85">
        <v>977</v>
      </c>
      <c r="E85">
        <v>1037</v>
      </c>
      <c r="F85">
        <v>4717</v>
      </c>
      <c r="G85">
        <v>-2912</v>
      </c>
      <c r="H85">
        <v>16141</v>
      </c>
      <c r="I85">
        <v>39293</v>
      </c>
      <c r="J85">
        <v>8241</v>
      </c>
      <c r="K85">
        <v>13223</v>
      </c>
    </row>
    <row r="86" spans="1:11" x14ac:dyDescent="0.25">
      <c r="A86" s="6"/>
    </row>
    <row r="87" spans="1:11" x14ac:dyDescent="0.25">
      <c r="A87" s="6"/>
    </row>
    <row r="88" spans="1:11" x14ac:dyDescent="0.25">
      <c r="A88" s="6"/>
    </row>
    <row r="89" spans="1:11" x14ac:dyDescent="0.25">
      <c r="A89" s="6"/>
    </row>
    <row r="90" spans="1:11" s="1" customFormat="1" x14ac:dyDescent="0.25">
      <c r="A90" s="1" t="s">
        <v>54</v>
      </c>
      <c r="B90">
        <v>237.46</v>
      </c>
      <c r="C90">
        <v>300.08999999999997</v>
      </c>
      <c r="D90">
        <v>401.08</v>
      </c>
      <c r="E90">
        <v>619.42999999999995</v>
      </c>
      <c r="F90">
        <v>506.06</v>
      </c>
      <c r="G90">
        <v>918.78</v>
      </c>
      <c r="H90">
        <v>1208.51</v>
      </c>
      <c r="I90">
        <v>1069.21</v>
      </c>
      <c r="J90">
        <v>1485.85</v>
      </c>
      <c r="K90">
        <v>1275.0999999999999</v>
      </c>
    </row>
    <row r="92" spans="1:11" s="1" customFormat="1" x14ac:dyDescent="0.25">
      <c r="A92" s="1" t="s">
        <v>52</v>
      </c>
    </row>
    <row r="93" spans="1:11" x14ac:dyDescent="0.25">
      <c r="A93" s="4" t="s">
        <v>53</v>
      </c>
      <c r="B93" s="10">
        <v>1382.58</v>
      </c>
      <c r="C93" s="10">
        <v>1387.22</v>
      </c>
      <c r="D93" s="10">
        <v>1351.39</v>
      </c>
      <c r="E93" s="10">
        <v>1352.26</v>
      </c>
      <c r="F93" s="10">
        <v>1352.37</v>
      </c>
      <c r="G93" s="10">
        <v>1267.8900000000001</v>
      </c>
      <c r="H93" s="10">
        <v>1352.98</v>
      </c>
      <c r="I93" s="10">
        <v>1353.12</v>
      </c>
      <c r="J93" s="10">
        <v>1353.14</v>
      </c>
      <c r="K93" s="10">
        <v>1353.24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 � � � � � � � � � � � � � � � � � � � � � � � � � � � � � � � � � � � � � � � � � � � � � � � � � � 
</file>

<file path=customXml/item2.xml>��
</file>

<file path=customXml/item3.xml>��
</file>

<file path=customXml/item4.xml>��
</file>

<file path=customXml/item5.xml>��
</file>

<file path=customXml/item6.xml>��
</file>

<file path=customXml/item7.xml>��
</file>

<file path=customXml/item8.xml>��
</file>

<file path=customXml/item9.xml>��� � � � 
</file>

<file path=customXml/item10.xml>��
</file>

<file path=customXml/item11.xml>��
</file>

<file path=customXml/item12.xml>��
</file>

<file path=customXml/item13.xml>��
</file>

<file path=customXml/item14.xml>��� �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C70E87D-7644-4E76-B69C-6C67AA5C975E}">
  <ds:schemaRefs/>
</ds:datastoreItem>
</file>

<file path=customXml/itemProps2.xml><?xml version="1.0" encoding="utf-8"?>
<ds:datastoreItem xmlns:ds="http://schemas.openxmlformats.org/officeDocument/2006/customXml" ds:itemID="{054962FA-9227-4937-9ED4-CD5967F774A5}">
  <ds:schemaRefs/>
</ds:datastoreItem>
</file>

<file path=customXml/itemProps3.xml><?xml version="1.0" encoding="utf-8"?>
<ds:datastoreItem xmlns:ds="http://schemas.openxmlformats.org/officeDocument/2006/customXml" ds:itemID="{5539866E-38CC-4A6F-9D2A-C9AD510B5C04}">
  <ds:schemaRefs/>
</ds:datastoreItem>
</file>

<file path=customXml/itemProps4.xml><?xml version="1.0" encoding="utf-8"?>
<ds:datastoreItem xmlns:ds="http://schemas.openxmlformats.org/officeDocument/2006/customXml" ds:itemID="{756588AF-0E59-44A8-A261-158ACEA7778D}">
  <ds:schemaRefs/>
</ds:datastoreItem>
</file>

<file path=customXml/itemProps5.xml><?xml version="1.0" encoding="utf-8"?>
<ds:datastoreItem xmlns:ds="http://schemas.openxmlformats.org/officeDocument/2006/customXml" ds:itemID="{AA2FD723-5A49-4F1E-822F-8D3E71E5DFFB}">
  <ds:schemaRefs/>
</ds:datastoreItem>
</file>

<file path=customXml/itemProps6.xml><?xml version="1.0" encoding="utf-8"?>
<ds:datastoreItem xmlns:ds="http://schemas.openxmlformats.org/officeDocument/2006/customXml" ds:itemID="{0A899F51-AE6D-4023-8A91-2661651B4C71}">
  <ds:schemaRefs/>
</ds:datastoreItem>
</file>

<file path=customXml/itemProps7.xml><?xml version="1.0" encoding="utf-8"?>
<ds:datastoreItem xmlns:ds="http://schemas.openxmlformats.org/officeDocument/2006/customXml" ds:itemID="{B81A4299-B47C-4211-A3B1-8F4B1D7B0E25}">
  <ds:schemaRefs/>
</ds:datastoreItem>
</file>

<file path=customXml/itemProps8.xml><?xml version="1.0" encoding="utf-8"?>
<ds:datastoreItem xmlns:ds="http://schemas.openxmlformats.org/officeDocument/2006/customXml" ds:itemID="{41E3EF29-BC3E-493C-973E-35835811624E}">
  <ds:schemaRefs/>
</ds:datastoreItem>
</file>

<file path=customXml/itemProps9.xml><?xml version="1.0" encoding="utf-8"?>
<ds:datastoreItem xmlns:ds="http://schemas.openxmlformats.org/officeDocument/2006/customXml" ds:itemID="{19776CFA-6626-4356-9031-858461C0D410}">
  <ds:schemaRefs/>
</ds:datastoreItem>
</file>

<file path=customXml/itemProps10.xml><?xml version="1.0" encoding="utf-8"?>
<ds:datastoreItem xmlns:ds="http://schemas.openxmlformats.org/officeDocument/2006/customXml" ds:itemID="{8A746255-9EAF-4CDA-AF89-856076110B68}">
  <ds:schemaRefs/>
</ds:datastoreItem>
</file>

<file path=customXml/itemProps11.xml><?xml version="1.0" encoding="utf-8"?>
<ds:datastoreItem xmlns:ds="http://schemas.openxmlformats.org/officeDocument/2006/customXml" ds:itemID="{E4F178B2-415B-4D46-9551-D1D9E56551EA}">
  <ds:schemaRefs/>
</ds:datastoreItem>
</file>

<file path=customXml/itemProps12.xml><?xml version="1.0" encoding="utf-8"?>
<ds:datastoreItem xmlns:ds="http://schemas.openxmlformats.org/officeDocument/2006/customXml" ds:itemID="{946C99AE-5B4C-43AA-A9ED-18B39FB68949}">
  <ds:schemaRefs/>
</ds:datastoreItem>
</file>

<file path=customXml/itemProps13.xml><?xml version="1.0" encoding="utf-8"?>
<ds:datastoreItem xmlns:ds="http://schemas.openxmlformats.org/officeDocument/2006/customXml" ds:itemID="{34E5AB78-C29B-4DF0-A1FA-FD43377C4F02}">
  <ds:schemaRefs/>
</ds:datastoreItem>
</file>

<file path=customXml/itemProps14.xml><?xml version="1.0" encoding="utf-8"?>
<ds:datastoreItem xmlns:ds="http://schemas.openxmlformats.org/officeDocument/2006/customXml" ds:itemID="{E674D40A-6667-47BF-B637-B6A66B5CDFFB}">
  <ds:schemaRefs/>
</ds:datastoreItem>
</file>

<file path=customXml/itemProps15.xml><?xml version="1.0" encoding="utf-8"?>
<ds:datastoreItem xmlns:ds="http://schemas.openxmlformats.org/officeDocument/2006/customXml" ds:itemID="{4513B67C-4461-49E7-B82C-10C6E2348DBF}">
  <ds:schemaRefs/>
</ds:datastoreItem>
</file>

<file path=customXml/itemProps16.xml><?xml version="1.0" encoding="utf-8"?>
<ds:datastoreItem xmlns:ds="http://schemas.openxmlformats.org/officeDocument/2006/customXml" ds:itemID="{B077BCC3-EDC8-4FB4-AA1A-8BE00712144F}">
  <ds:schemaRefs/>
</ds:datastoreItem>
</file>

<file path=customXml/itemProps17.xml><?xml version="1.0" encoding="utf-8"?>
<ds:datastoreItem xmlns:ds="http://schemas.openxmlformats.org/officeDocument/2006/customXml" ds:itemID="{246F503F-92AB-4A2E-9E63-B0AF9F031E30}">
  <ds:schemaRefs/>
</ds:datastoreItem>
</file>

<file path=customXml/itemProps18.xml><?xml version="1.0" encoding="utf-8"?>
<ds:datastoreItem xmlns:ds="http://schemas.openxmlformats.org/officeDocument/2006/customXml" ds:itemID="{AEF5AA3B-2B29-49BF-BA43-D7DF1CA0AA54}">
  <ds:schemaRefs/>
</ds:datastoreItem>
</file>

<file path=customXml/itemProps19.xml><?xml version="1.0" encoding="utf-8"?>
<ds:datastoreItem xmlns:ds="http://schemas.openxmlformats.org/officeDocument/2006/customXml" ds:itemID="{E9725C6A-AC80-47F9-B39F-B82B8566D48A}">
  <ds:schemaRefs/>
</ds:datastoreItem>
</file>

<file path=customXml/itemProps20.xml><?xml version="1.0" encoding="utf-8"?>
<ds:datastoreItem xmlns:ds="http://schemas.openxmlformats.org/officeDocument/2006/customXml" ds:itemID="{93505AA4-4699-4650-A44D-C66B112E9F6A}">
  <ds:schemaRefs/>
</ds:datastoreItem>
</file>

<file path=customXml/itemProps21.xml><?xml version="1.0" encoding="utf-8"?>
<ds:datastoreItem xmlns:ds="http://schemas.openxmlformats.org/officeDocument/2006/customXml" ds:itemID="{7F44E826-5D5D-40B1-B820-3C0CF91C8231}">
  <ds:schemaRefs/>
</ds:datastoreItem>
</file>

<file path=customXml/itemProps22.xml><?xml version="1.0" encoding="utf-8"?>
<ds:datastoreItem xmlns:ds="http://schemas.openxmlformats.org/officeDocument/2006/customXml" ds:itemID="{E0F1BF0B-6A2A-477B-9CE8-4B230190611C}">
  <ds:schemaRefs/>
</ds:datastoreItem>
</file>

<file path=customXml/itemProps23.xml><?xml version="1.0" encoding="utf-8"?>
<ds:datastoreItem xmlns:ds="http://schemas.openxmlformats.org/officeDocument/2006/customXml" ds:itemID="{08DCA224-DACD-471D-AB05-2296EB80FEED}">
  <ds:schemaRefs/>
</ds:datastoreItem>
</file>

<file path=customXml/itemProps24.xml><?xml version="1.0" encoding="utf-8"?>
<ds:datastoreItem xmlns:ds="http://schemas.openxmlformats.org/officeDocument/2006/customXml" ds:itemID="{E1288589-EC20-477F-BA07-675CE7A0226C}">
  <ds:schemaRefs/>
</ds:datastoreItem>
</file>

<file path=customXml/itemProps25.xml><?xml version="1.0" encoding="utf-8"?>
<ds:datastoreItem xmlns:ds="http://schemas.openxmlformats.org/officeDocument/2006/customXml" ds:itemID="{55B8960D-5BF1-4029-A287-01F0998571B8}">
  <ds:schemaRefs/>
</ds:datastoreItem>
</file>

<file path=customXml/itemProps26.xml><?xml version="1.0" encoding="utf-8"?>
<ds:datastoreItem xmlns:ds="http://schemas.openxmlformats.org/officeDocument/2006/customXml" ds:itemID="{D0DCB32F-CE26-475E-9753-FA56A2D4B937}">
  <ds:schemaRefs/>
</ds:datastoreItem>
</file>

<file path=customXml/itemProps27.xml><?xml version="1.0" encoding="utf-8"?>
<ds:datastoreItem xmlns:ds="http://schemas.openxmlformats.org/officeDocument/2006/customXml" ds:itemID="{751F6FEF-58EF-47EE-B0C8-B31DB6998645}">
  <ds:schemaRefs/>
</ds:datastoreItem>
</file>

<file path=customXml/itemProps28.xml><?xml version="1.0" encoding="utf-8"?>
<ds:datastoreItem xmlns:ds="http://schemas.openxmlformats.org/officeDocument/2006/customXml" ds:itemID="{B63CA67E-A76C-4803-A1AF-E093CCF2CE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Profit &amp; Loss</vt:lpstr>
      <vt:lpstr>PowerPivot</vt:lpstr>
      <vt:lpstr>Dashboard</vt:lpstr>
      <vt:lpstr>Data Sheet</vt:lpstr>
      <vt:lpstr>PL_Data</vt:lpstr>
      <vt:lpstr>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Pratyush</dc:creator>
  <cp:keywords/>
  <dc:description/>
  <cp:lastModifiedBy>Kartik Gupta</cp:lastModifiedBy>
  <cp:revision/>
  <cp:lastPrinted>2026-01-22T13:43:20Z</cp:lastPrinted>
  <dcterms:created xsi:type="dcterms:W3CDTF">2012-08-17T09:55:37Z</dcterms:created>
  <dcterms:modified xsi:type="dcterms:W3CDTF">2026-01-22T13:48:03Z</dcterms:modified>
  <cp:category/>
  <cp:contentStatus/>
</cp:coreProperties>
</file>